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GitHub\Clean City Project\"/>
    </mc:Choice>
  </mc:AlternateContent>
  <xr:revisionPtr revIDLastSave="0" documentId="13_ncr:1_{95B1561F-F6E4-435A-BFEC-BA6034231907}" xr6:coauthVersionLast="47" xr6:coauthVersionMax="47" xr10:uidLastSave="{00000000-0000-0000-0000-000000000000}"/>
  <bookViews>
    <workbookView xWindow="-108" yWindow="-108" windowWidth="23256" windowHeight="13176" xr2:uid="{45BF67F8-B6EE-4735-A865-79099719186D}"/>
  </bookViews>
  <sheets>
    <sheet name="DASHBOARD" sheetId="8" r:id="rId1"/>
    <sheet name="TEST_CASES" sheetId="2" r:id="rId2"/>
    <sheet name="DEFECTS_LOG" sheetId="3" r:id="rId3"/>
    <sheet name="RISK_ANALYSIS" sheetId="4" r:id="rId4"/>
    <sheet name="RECOMMENDATIONS" sheetId="7" r:id="rId5"/>
  </sheets>
  <definedNames>
    <definedName name="_xlnm._FilterDatabase" localSheetId="3" hidden="1">RISK_ANALYSIS!$A$1:$I$131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8" l="1"/>
  <c r="F5" i="8"/>
  <c r="F4" i="8"/>
  <c r="F3" i="8"/>
  <c r="F2" i="8"/>
  <c r="B2" i="8"/>
  <c r="B4" i="8"/>
  <c r="B1" i="8"/>
  <c r="B3" i="8" l="1"/>
</calcChain>
</file>

<file path=xl/sharedStrings.xml><?xml version="1.0" encoding="utf-8"?>
<sst xmlns="http://schemas.openxmlformats.org/spreadsheetml/2006/main" count="2456" uniqueCount="1179">
  <si>
    <t>Test ID</t>
  </si>
  <si>
    <t>Module</t>
  </si>
  <si>
    <t>Test Case</t>
  </si>
  <si>
    <t>Preconditions</t>
  </si>
  <si>
    <t>Test Steps</t>
  </si>
  <si>
    <t>Expected Result</t>
  </si>
  <si>
    <t>Priority</t>
  </si>
  <si>
    <t>Status</t>
  </si>
  <si>
    <t>Actual Result</t>
  </si>
  <si>
    <t>AUTH-001</t>
  </si>
  <si>
    <t>Valid user registration</t>
  </si>
  <si>
    <t>No user logged in</t>
  </si>
  <si>
    <t>1. Navigate to Register page</t>
  </si>
  <si>
    <t>3. Submit form</t>
  </si>
  <si>
    <t>High</t>
  </si>
  <si>
    <t>AUTH-002</t>
  </si>
  <si>
    <t>Email validation</t>
  </si>
  <si>
    <t>1. Navigate to Register</t>
  </si>
  <si>
    <t>3. Submit</t>
  </si>
  <si>
    <t>Error message shown, form not submitted</t>
  </si>
  <si>
    <t>AUTH-003</t>
  </si>
  <si>
    <t>Password confirmation</t>
  </si>
  <si>
    <t>2. Enter different passwords</t>
  </si>
  <si>
    <t>Error message for password mismatch</t>
  </si>
  <si>
    <t>AUTH-004</t>
  </si>
  <si>
    <t>Successful login</t>
  </si>
  <si>
    <t>Valid user exists</t>
  </si>
  <si>
    <t>1. Navigate to Login</t>
  </si>
  <si>
    <t>AUTH-005</t>
  </si>
  <si>
    <t>Invalid credentials</t>
  </si>
  <si>
    <t>AUTH-006</t>
  </si>
  <si>
    <t>AUTH-007</t>
  </si>
  <si>
    <t>User logout</t>
  </si>
  <si>
    <t>User logged in</t>
  </si>
  <si>
    <t>1. Click logout button</t>
  </si>
  <si>
    <t>Medium</t>
  </si>
  <si>
    <t>AUTH-008</t>
  </si>
  <si>
    <t>Admin access control</t>
  </si>
  <si>
    <t>Admin user logged in</t>
  </si>
  <si>
    <t>1. Login as admin</t>
  </si>
  <si>
    <t>2. Check navigation menu</t>
  </si>
  <si>
    <t>AUTH-009</t>
  </si>
  <si>
    <t>Regular user logged in</t>
  </si>
  <si>
    <t>1. Login as regular user</t>
  </si>
  <si>
    <t>AUTH-010</t>
  </si>
  <si>
    <t>1. Login successfully</t>
  </si>
  <si>
    <t>2. Refresh browser</t>
  </si>
  <si>
    <t>3. Check state</t>
  </si>
  <si>
    <t>Defect ID</t>
  </si>
  <si>
    <t>Authentication</t>
  </si>
  <si>
    <t>2. Fill: Name, Email, Password, Confirm Password</t>
  </si>
  <si>
    <t>3. Click Create Account</t>
  </si>
  <si>
    <t>User account created, success message shown, redirected to login</t>
  </si>
  <si>
    <t>2. Enter "invalid-email"</t>
  </si>
  <si>
    <t>2. Enter user@cleancity.com/password123</t>
  </si>
  <si>
    <t>Login successful, navigation updated, user info shown</t>
  </si>
  <si>
    <t>2. Enter wrong@email.com/wrongpass</t>
  </si>
  <si>
    <t>Error message shown, remains on login page</t>
  </si>
  <si>
    <t>Admin login</t>
  </si>
  <si>
    <t>Admin account exists</t>
  </si>
  <si>
    <t>2. Enter admin@cleancity.com/admin123</t>
  </si>
  <si>
    <t>Login successful, Admin link visible in navigation</t>
  </si>
  <si>
    <t>Session cleared, redirected to login, nav updated</t>
  </si>
  <si>
    <t>Session persistence</t>
  </si>
  <si>
    <t>User remains logged in, data persists</t>
  </si>
  <si>
    <t>Role-based access</t>
  </si>
  <si>
    <t>Admin link hidden from regular users</t>
  </si>
  <si>
    <t>Duplicate email registration</t>
  </si>
  <si>
    <t>User already exists</t>
  </si>
  <si>
    <t>1. Try to register with existing email</t>
  </si>
  <si>
    <t>2. Submit form</t>
  </si>
  <si>
    <t>Error message for duplicate email</t>
  </si>
  <si>
    <t>WM-001</t>
  </si>
  <si>
    <t>Waste Management</t>
  </si>
  <si>
    <t>Submit valid pickup request</t>
  </si>
  <si>
    <t>1. Navigate to Home</t>
  </si>
  <si>
    <t>2. Fill: Name, Location, Waste Type</t>
  </si>
  <si>
    <t>Success message shown, request stored</t>
  </si>
  <si>
    <t>WM-002</t>
  </si>
  <si>
    <t>Required field validation</t>
  </si>
  <si>
    <t>2. Leave name blank</t>
  </si>
  <si>
    <t>Validation error for name field</t>
  </si>
  <si>
    <t>WM-003</t>
  </si>
  <si>
    <t>Location selection required</t>
  </si>
  <si>
    <t>2. Don't select location</t>
  </si>
  <si>
    <t>Validation error for location</t>
  </si>
  <si>
    <t>WM-004</t>
  </si>
  <si>
    <t>Waste type selection required</t>
  </si>
  <si>
    <t>2. Don't select waste type</t>
  </si>
  <si>
    <t>Validation error for waste type</t>
  </si>
  <si>
    <t>WM-005</t>
  </si>
  <si>
    <t>Optional date field</t>
  </si>
  <si>
    <t>2. Fill required fields only (no date)</t>
  </si>
  <si>
    <t>Form submits successfully</t>
  </si>
  <si>
    <t>WM-006</t>
  </si>
  <si>
    <t>Dashboard</t>
  </si>
  <si>
    <t>View all requests</t>
  </si>
  <si>
    <t>User logged in, requests exist</t>
  </si>
  <si>
    <t>1. Navigate to Dashboard</t>
  </si>
  <si>
    <t>2. Check table</t>
  </si>
  <si>
    <t>All requests displayed with correct data</t>
  </si>
  <si>
    <t>WM-007</t>
  </si>
  <si>
    <t>Filter by status</t>
  </si>
  <si>
    <t>Multiple requests exist</t>
  </si>
  <si>
    <t>1. Go to Dashboard</t>
  </si>
  <si>
    <t>2. Select "Pending" status filter</t>
  </si>
  <si>
    <t>3. Check table</t>
  </si>
  <si>
    <t>Only pending requests displayed</t>
  </si>
  <si>
    <t>WM-008</t>
  </si>
  <si>
    <t>Filter by location</t>
  </si>
  <si>
    <t>2. Select "Nairobi" location filter</t>
  </si>
  <si>
    <t>Only Nairobi requests displayed</t>
  </si>
  <si>
    <t>WM-009</t>
  </si>
  <si>
    <t>Filter count display</t>
  </si>
  <si>
    <t>1. Apply filters</t>
  </si>
  <si>
    <t>2. Check filter count text</t>
  </si>
  <si>
    <t>Count updates with filtered results</t>
  </si>
  <si>
    <t>Low</t>
  </si>
  <si>
    <t>WM-010</t>
  </si>
  <si>
    <t>Data persistence</t>
  </si>
  <si>
    <t>Multiple requests submitted</t>
  </si>
  <si>
    <t>1. Submit requests</t>
  </si>
  <si>
    <t>2. Reload page</t>
  </si>
  <si>
    <t>3. Check dashboard</t>
  </si>
  <si>
    <t>All requests persist after refresh</t>
  </si>
  <si>
    <t>FB-001</t>
  </si>
  <si>
    <t>Feedback</t>
  </si>
  <si>
    <t>Submit valid feedback</t>
  </si>
  <si>
    <t>1. Navigate to Feedback</t>
  </si>
  <si>
    <t>2. Fill Request ID and Reason</t>
  </si>
  <si>
    <t>Success message shown</t>
  </si>
  <si>
    <t>FB-002</t>
  </si>
  <si>
    <t>Request ID validation</t>
  </si>
  <si>
    <t>2. Leave Request ID blank</t>
  </si>
  <si>
    <t>Validation error shown</t>
  </si>
  <si>
    <t>FB-003</t>
  </si>
  <si>
    <t>Reason selection required</t>
  </si>
  <si>
    <t>2. Don't select reason</t>
  </si>
  <si>
    <t>ADMIN-001</t>
  </si>
  <si>
    <t>Admin</t>
  </si>
  <si>
    <t>1. Try to access admin page</t>
  </si>
  <si>
    <t>2. Check access</t>
  </si>
  <si>
    <t>Access denied or redirected</t>
  </si>
  <si>
    <t>ADMIN-002</t>
  </si>
  <si>
    <t>Admin features visibility</t>
  </si>
  <si>
    <t>2. Navigate to Admin page</t>
  </si>
  <si>
    <t>All admin features visible and functional</t>
  </si>
  <si>
    <t>ADMIN-003</t>
  </si>
  <si>
    <t>Update request status</t>
  </si>
  <si>
    <t>Admin logged in, requests exist</t>
  </si>
  <si>
    <t>1. Select request from dropdown</t>
  </si>
  <si>
    <t>2. Choose new status</t>
  </si>
  <si>
    <t>3. Click Update</t>
  </si>
  <si>
    <t>Status changes, table updates immediately</t>
  </si>
  <si>
    <t>ADMIN-004</t>
  </si>
  <si>
    <t>Statistics calculation</t>
  </si>
  <si>
    <t>1. Navigate to Admin panel</t>
  </si>
  <si>
    <t>2. Check statistics cards</t>
  </si>
  <si>
    <t>Correct counts displayed for each status</t>
  </si>
  <si>
    <t>UI-001</t>
  </si>
  <si>
    <t>UI/UX</t>
  </si>
  <si>
    <t>Page navigation</t>
  </si>
  <si>
    <t>Any page</t>
  </si>
  <si>
    <t>1. Click all navigation links</t>
  </si>
  <si>
    <t>2. Check URL and content</t>
  </si>
  <si>
    <t>Correct pages load, URL updates</t>
  </si>
  <si>
    <t>UI-002</t>
  </si>
  <si>
    <t>Mobile responsiveness</t>
  </si>
  <si>
    <t>Mobile viewport</t>
  </si>
  <si>
    <t>1. Resize to 375x667</t>
  </si>
  <si>
    <t>2. Check all pages</t>
  </si>
  <si>
    <t>Layout adjusts properly, no horizontal scroll</t>
  </si>
  <si>
    <t>UI-003</t>
  </si>
  <si>
    <t>Tablet responsiveness</t>
  </si>
  <si>
    <t>Tablet viewport</t>
  </si>
  <si>
    <t>1. Resize to 768x1024</t>
  </si>
  <si>
    <t>Layout adjusts properly for tablet</t>
  </si>
  <si>
    <t>UI-004</t>
  </si>
  <si>
    <t>Form consistency</t>
  </si>
  <si>
    <t>Any form page</t>
  </si>
  <si>
    <t>1. Check all form elements</t>
  </si>
  <si>
    <t>2. Verify styling</t>
  </si>
  <si>
    <t>Uniform styling across all forms</t>
  </si>
  <si>
    <t>UI-005</t>
  </si>
  <si>
    <t>Hamburger menu</t>
  </si>
  <si>
    <t>Mobile view</t>
  </si>
  <si>
    <t>1. Resize to mobile</t>
  </si>
  <si>
    <t>2. Click hamburger menu</t>
  </si>
  <si>
    <t>3. Check navigation</t>
  </si>
  <si>
    <t>Menu expands/collapses correctly</t>
  </si>
  <si>
    <t>AW-001</t>
  </si>
  <si>
    <t>Awareness</t>
  </si>
  <si>
    <t>Page content load</t>
  </si>
  <si>
    <t>Any user</t>
  </si>
  <si>
    <t>1. Navigate to Awareness page</t>
  </si>
  <si>
    <t>2. Check all sections</t>
  </si>
  <si>
    <t>All content loads correctly</t>
  </si>
  <si>
    <t>AW-002</t>
  </si>
  <si>
    <t>Image loading</t>
  </si>
  <si>
    <t>Awareness page</t>
  </si>
  <si>
    <t>1. Check all images</t>
  </si>
  <si>
    <t>2. Verify loading state</t>
  </si>
  <si>
    <t>All images load without errors</t>
  </si>
  <si>
    <t>AW-003</t>
  </si>
  <si>
    <t>Grid layout</t>
  </si>
  <si>
    <t>1. Check awareness cards layout</t>
  </si>
  <si>
    <t>2. Verify responsive behavior</t>
  </si>
  <si>
    <t>Cards display in proper grid format</t>
  </si>
  <si>
    <t>SEC-001</t>
  </si>
  <si>
    <t>Security</t>
  </si>
  <si>
    <t>XSS prevention</t>
  </si>
  <si>
    <t>Any form</t>
  </si>
  <si>
    <t>2. Submit</t>
  </si>
  <si>
    <t>Script treated as text, not executed</t>
  </si>
  <si>
    <t>Critical</t>
  </si>
  <si>
    <t>DEF-001</t>
  </si>
  <si>
    <t>SEC-002</t>
  </si>
  <si>
    <t>Input sanitization</t>
  </si>
  <si>
    <t>Registration form</t>
  </si>
  <si>
    <t>1. Enter SQL commands in inputs</t>
  </si>
  <si>
    <t>Commands treated as text, not executed</t>
  </si>
  <si>
    <t>PERF-001</t>
  </si>
  <si>
    <t>Performance</t>
  </si>
  <si>
    <t>Page load time</t>
  </si>
  <si>
    <t>Clean cache</t>
  </si>
  <si>
    <t>1. Measure main page load time</t>
  </si>
  <si>
    <t>2. Check resource loading</t>
  </si>
  <si>
    <t>Pages load within 3 seconds</t>
  </si>
  <si>
    <t>PERF-002</t>
  </si>
  <si>
    <t>Large dataset handling</t>
  </si>
  <si>
    <t>50+ requests</t>
  </si>
  <si>
    <t>1. Create many requests</t>
  </si>
  <si>
    <t>2. Check dashboard performance</t>
  </si>
  <si>
    <t>App remains responsive</t>
  </si>
  <si>
    <t>1. Enter &lt;script&gt;alert('XSS')&lt;/script&gt; in text fields</t>
  </si>
  <si>
    <t>Done</t>
  </si>
  <si>
    <t>DEF-002</t>
  </si>
  <si>
    <t>DEF-003</t>
  </si>
  <si>
    <t>DEF-004</t>
  </si>
  <si>
    <t>DEF-005</t>
  </si>
  <si>
    <t>DEF-A001</t>
  </si>
  <si>
    <t>DEF-A002</t>
  </si>
  <si>
    <t>DEF-A003</t>
  </si>
  <si>
    <t>DEF-A004</t>
  </si>
  <si>
    <t>DEF-A005</t>
  </si>
  <si>
    <t>DEF-A006</t>
  </si>
  <si>
    <t>DEF-A007</t>
  </si>
  <si>
    <t>DEF-A008</t>
  </si>
  <si>
    <t>DEF-A009</t>
  </si>
  <si>
    <t>DEF-A010</t>
  </si>
  <si>
    <t>DEF-W001</t>
  </si>
  <si>
    <t>DEF-W002</t>
  </si>
  <si>
    <t>DEF-W003</t>
  </si>
  <si>
    <t>DEF-W004</t>
  </si>
  <si>
    <t>DEF-W005</t>
  </si>
  <si>
    <t>DEF-W006</t>
  </si>
  <si>
    <t>DEF-W007</t>
  </si>
  <si>
    <t>DEF-W008</t>
  </si>
  <si>
    <t>DEF-W009</t>
  </si>
  <si>
    <t>DEF-W010</t>
  </si>
  <si>
    <t>DEF-F001</t>
  </si>
  <si>
    <t>DEF-F002</t>
  </si>
  <si>
    <t>DEF-F003</t>
  </si>
  <si>
    <t>DEF-AD001</t>
  </si>
  <si>
    <t>DEF-AD002</t>
  </si>
  <si>
    <t>DEF-AD003</t>
  </si>
  <si>
    <t>DEF-AD004</t>
  </si>
  <si>
    <t>DEF-U001</t>
  </si>
  <si>
    <t>DEF-U002</t>
  </si>
  <si>
    <t>DEF-U003</t>
  </si>
  <si>
    <t>DEF-U004</t>
  </si>
  <si>
    <t>DEF-U005</t>
  </si>
  <si>
    <t>DEF-AW001</t>
  </si>
  <si>
    <t>DEF-AW002</t>
  </si>
  <si>
    <t>DEF-AW003</t>
  </si>
  <si>
    <t>DEF-S001</t>
  </si>
  <si>
    <t>DEF-P001</t>
  </si>
  <si>
    <t>DEF-P002</t>
  </si>
  <si>
    <t>Title</t>
  </si>
  <si>
    <t>Description</t>
  </si>
  <si>
    <t>Steps to Reproduce</t>
  </si>
  <si>
    <t>Severity</t>
  </si>
  <si>
    <t>Assigned To</t>
  </si>
  <si>
    <t>XSS Security Vulnerability</t>
  </si>
  <si>
    <t>Script tags execute when entered in form inputs</t>
  </si>
  <si>
    <t>Script should be sanitized and not execute</t>
  </si>
  <si>
    <t>Script executes in browser</t>
  </si>
  <si>
    <t>Open</t>
  </si>
  <si>
    <t>Data Loss on Browser Clear</t>
  </si>
  <si>
    <t>Data</t>
  </si>
  <si>
    <t>All application data lost when browser storage cleared</t>
  </si>
  <si>
    <t>1. Create multiple pickup requests</t>
  </si>
  <si>
    <t>2. Clear browser storage/data</t>
  </si>
  <si>
    <t>3. Reload application</t>
  </si>
  <si>
    <t>Data should persist or have backup</t>
  </si>
  <si>
    <t>All user data and requests lost</t>
  </si>
  <si>
    <t>No Form Validation Feedback</t>
  </si>
  <si>
    <t>Forms</t>
  </si>
  <si>
    <t>Forms submit without validation error messages</t>
  </si>
  <si>
    <t>1. Submit any form with required fields empty</t>
  </si>
  <si>
    <t>2. Observe behavior</t>
  </si>
  <si>
    <t>Clear validation messages should appear</t>
  </si>
  <si>
    <t>No feedback, form may submit</t>
  </si>
  <si>
    <t>Mobile Menu Not Functional</t>
  </si>
  <si>
    <t>UI</t>
  </si>
  <si>
    <t>Hamburger menu doesn't respond on mobile view</t>
  </si>
  <si>
    <t>1. Resize browser to mobile size</t>
  </si>
  <si>
    <t>3. Observe behavior</t>
  </si>
  <si>
    <t>Menu should expand/collapse</t>
  </si>
  <si>
    <t>No response from menu click</t>
  </si>
  <si>
    <t>Filter Count Not Updating</t>
  </si>
  <si>
    <t>Filter count text doesn't update when filters applied</t>
  </si>
  <si>
    <t>1. Apply status or location filters</t>
  </si>
  <si>
    <t>2. Check filter count display</t>
  </si>
  <si>
    <t>Text should update with result count</t>
  </si>
  <si>
    <t>Static text doesn't change</t>
  </si>
  <si>
    <t>1. Enter &lt;script&gt;alert('XSS')&lt;/script&gt; in any text field</t>
  </si>
  <si>
    <t>Impact</t>
  </si>
  <si>
    <t>Probability</t>
  </si>
  <si>
    <t>Owner</t>
  </si>
  <si>
    <t>RISK-001</t>
  </si>
  <si>
    <t>No input sanitization - XSS vulnerability</t>
  </si>
  <si>
    <t>Implement input validation and sanitization library</t>
  </si>
  <si>
    <t>Dev Team</t>
  </si>
  <si>
    <t>RISK-002</t>
  </si>
  <si>
    <t>Implement data export feature and backup prompts</t>
  </si>
  <si>
    <t>RISK-003</t>
  </si>
  <si>
    <t>Hardcoded demo credentials in production</t>
  </si>
  <si>
    <t>Remove hardcoded accounts, implement proper auth system</t>
  </si>
  <si>
    <t>RISK-004</t>
  </si>
  <si>
    <t>No password encryption in storage</t>
  </si>
  <si>
    <t>Implement proper password hashing (bcrypt)</t>
  </si>
  <si>
    <t>RISK-005</t>
  </si>
  <si>
    <t>Implement data pagination and archiving system</t>
  </si>
  <si>
    <t>RISK-006</t>
  </si>
  <si>
    <t>Usability</t>
  </si>
  <si>
    <t>No form validation feedback to users</t>
  </si>
  <si>
    <t>RISK-007</t>
  </si>
  <si>
    <t>No loading states for form submissions</t>
  </si>
  <si>
    <t>Add loading spinners and disable buttons during submission</t>
  </si>
  <si>
    <t>RISK-008</t>
  </si>
  <si>
    <t>Compatibility</t>
  </si>
  <si>
    <t>Limited browser compatibility testing</t>
  </si>
  <si>
    <t>Expand testing to include Safari, Firefox, Edge</t>
  </si>
  <si>
    <t>QA Team</t>
  </si>
  <si>
    <t>RISK-009</t>
  </si>
  <si>
    <t>Accessibility</t>
  </si>
  <si>
    <t>WCAG compliance not verified</t>
  </si>
  <si>
    <t>Conduct accessibility audit and implement fixes</t>
  </si>
  <si>
    <t>RISK-010</t>
  </si>
  <si>
    <t>No data persistence across devices</t>
  </si>
  <si>
    <t>Plan for cloud synchronization feature</t>
  </si>
  <si>
    <t>RISK-011</t>
  </si>
  <si>
    <t>Implement virtual scrolling or pagination for large tables</t>
  </si>
  <si>
    <t>RISK-012</t>
  </si>
  <si>
    <t>Add data validation checks and corruption recovery</t>
  </si>
  <si>
    <t>RISK-013</t>
  </si>
  <si>
    <t>CSRF vulnerabilities in form submissions</t>
  </si>
  <si>
    <t>Implement CSRF tokens for all form submissions</t>
  </si>
  <si>
    <t>RISK-014</t>
  </si>
  <si>
    <t>CSS/JS feature support in older browsers</t>
  </si>
  <si>
    <t>Use progressive enhancement and feature detection</t>
  </si>
  <si>
    <t>Critical Defects</t>
  </si>
  <si>
    <t>Success Rate</t>
  </si>
  <si>
    <t>Recommendation</t>
  </si>
  <si>
    <t>Effort</t>
  </si>
  <si>
    <t>Implement input sanitization for security</t>
  </si>
  <si>
    <t>Add password encryption/hashing</t>
  </si>
  <si>
    <t>Create data backup/export functionality</t>
  </si>
  <si>
    <t>Enhance form validation with real-time feedback</t>
  </si>
  <si>
    <t>Fix mobile navigation menu</t>
  </si>
  <si>
    <t>Implement loading states for all actions</t>
  </si>
  <si>
    <t>Add proper error handling and messages</t>
  </si>
  <si>
    <t>Conduct cross-browser compatibility testing</t>
  </si>
  <si>
    <t>Implement accessibility improvements</t>
  </si>
  <si>
    <t>Enhance dashboard filter functionality</t>
  </si>
  <si>
    <t>Add confirmation dialogs for destructive actions</t>
  </si>
  <si>
    <t>Total Test Cases</t>
  </si>
  <si>
    <t>Completed Test Cases</t>
  </si>
  <si>
    <t>ChifuOnSteroids</t>
  </si>
  <si>
    <t>ChifuOnsteroids</t>
  </si>
  <si>
    <t>In Progress</t>
  </si>
  <si>
    <t>RISK-015</t>
  </si>
  <si>
    <t>Enforce server-side RBAC + JWT validation</t>
  </si>
  <si>
    <t>RISK-016</t>
  </si>
  <si>
    <t>XSS via unsanitized community post content</t>
  </si>
  <si>
    <t>Sanitize all user-generated content with DOMPurify</t>
  </si>
  <si>
    <t>RISK-017</t>
  </si>
  <si>
    <t>JS injection in comment input field</t>
  </si>
  <si>
    <t>Block &lt;script&gt;, onerror, onload via CSP + sanitization</t>
  </si>
  <si>
    <t>RISK-018</t>
  </si>
  <si>
    <t>.env file committed to Git with secrets</t>
  </si>
  <si>
    <t>RISK-019</t>
  </si>
  <si>
    <t>RISK-020</t>
  </si>
  <si>
    <t>Unsafe HTML saved and rendered in blog editor</t>
  </si>
  <si>
    <t>RISK-021</t>
  </si>
  <si>
    <t>Sample data overwrites production data</t>
  </si>
  <si>
    <t>Disable initializeSampleData() in production build</t>
  </si>
  <si>
    <t>RISK-022</t>
  </si>
  <si>
    <t>No server-side RBAC — client updates persist</t>
  </si>
  <si>
    <t>Validate all mutations on backend with user role</t>
  </si>
  <si>
    <t>RISK-023</t>
  </si>
  <si>
    <t>Add auth middleware to all /admin/* routes</t>
  </si>
  <si>
    <t>RISK-024</t>
  </si>
  <si>
    <t>Implement route guards + session validation</t>
  </si>
  <si>
    <t>RISK-025</t>
  </si>
  <si>
    <t>Sanitize + validate all API inputs on backend</t>
  </si>
  <si>
    <t>RISK-026</t>
  </si>
  <si>
    <t>RISK-027</t>
  </si>
  <si>
    <t>clearAllData() wipes data without confirmation</t>
  </si>
  <si>
    <t>RISK-028</t>
  </si>
  <si>
    <t>Client-side login bypasses server validation</t>
  </si>
  <si>
    <t>Require server-authenticated login only</t>
  </si>
  <si>
    <t>RISK-029</t>
  </si>
  <si>
    <t>Never store passwords — hash on registration</t>
  </si>
  <si>
    <t>RISK-030</t>
  </si>
  <si>
    <t>RISK-031</t>
  </si>
  <si>
    <t>API keys exposed in Git commit history</t>
  </si>
  <si>
    <t>RISK-032</t>
  </si>
  <si>
    <t>Testing</t>
  </si>
  <si>
    <t>Zero unit test coverage</t>
  </si>
  <si>
    <t>RISK-033</t>
  </si>
  <si>
    <t>No comment moderation — spam accepted</t>
  </si>
  <si>
    <t>RISK-034</t>
  </si>
  <si>
    <t>Admin panel publicly accessible at /admin</t>
  </si>
  <si>
    <t>Redirect unauthenticated users to login</t>
  </si>
  <si>
    <t>RISK-035</t>
  </si>
  <si>
    <t>Unsafe HTML execution in rich text editor</t>
  </si>
  <si>
    <t>RISK-036</t>
  </si>
  <si>
    <t>XSS risk in comment input field</t>
  </si>
  <si>
    <t>RISK-037</t>
  </si>
  <si>
    <t>RISK-038</t>
  </si>
  <si>
    <t>RISK-039</t>
  </si>
  <si>
    <t>Past dates allowed in pickup scheduling</t>
  </si>
  <si>
    <t>Disable past dates in date picker</t>
  </si>
  <si>
    <t>RISK-040</t>
  </si>
  <si>
    <t>RISK-041</t>
  </si>
  <si>
    <t>Restore focus styles or use custom visible ring</t>
  </si>
  <si>
    <t>RISK-042</t>
  </si>
  <si>
    <t>RISK-043</t>
  </si>
  <si>
    <t>RISK-044</t>
  </si>
  <si>
    <t>RISK-045</t>
  </si>
  <si>
    <t>RISK-046</t>
  </si>
  <si>
    <t>RISK-047</t>
  </si>
  <si>
    <t>RISK-048</t>
  </si>
  <si>
    <t>RISK-049</t>
  </si>
  <si>
    <t>RISK-050</t>
  </si>
  <si>
    <t>RISK-051</t>
  </si>
  <si>
    <t>RISK-052</t>
  </si>
  <si>
    <t>RISK-053</t>
  </si>
  <si>
    <t>RISK-054</t>
  </si>
  <si>
    <t>RISK-055</t>
  </si>
  <si>
    <t>RISK-056</t>
  </si>
  <si>
    <t>RISK-057</t>
  </si>
  <si>
    <t>RISK-058</t>
  </si>
  <si>
    <t>RISK-059</t>
  </si>
  <si>
    <t>RISK-060</t>
  </si>
  <si>
    <t>RISK-061</t>
  </si>
  <si>
    <t>RISK-062</t>
  </si>
  <si>
    <t>RISK-063</t>
  </si>
  <si>
    <t>RISK-064</t>
  </si>
  <si>
    <t>RISK-065</t>
  </si>
  <si>
    <t>RISK-066</t>
  </si>
  <si>
    <t>Documentation</t>
  </si>
  <si>
    <t>RISK-067</t>
  </si>
  <si>
    <t>Mobile</t>
  </si>
  <si>
    <t>RISK-068</t>
  </si>
  <si>
    <t>RISK-069</t>
  </si>
  <si>
    <t>RISK-070</t>
  </si>
  <si>
    <t>RISK-071</t>
  </si>
  <si>
    <t>RISK-072</t>
  </si>
  <si>
    <t>RISK-073</t>
  </si>
  <si>
    <t>RISK-074</t>
  </si>
  <si>
    <t>RISK-075</t>
  </si>
  <si>
    <t>RISK-076</t>
  </si>
  <si>
    <t>RISK-077</t>
  </si>
  <si>
    <t>RISK-078</t>
  </si>
  <si>
    <t>RISK-079</t>
  </si>
  <si>
    <t>RISK-080</t>
  </si>
  <si>
    <t>RISK-081</t>
  </si>
  <si>
    <t>RISK-082</t>
  </si>
  <si>
    <t>RISK-083</t>
  </si>
  <si>
    <t>RISK-084</t>
  </si>
  <si>
    <t>RISK-085</t>
  </si>
  <si>
    <t>RISK-086</t>
  </si>
  <si>
    <t>RISK-087</t>
  </si>
  <si>
    <t>RISK-088</t>
  </si>
  <si>
    <t>RISK-089</t>
  </si>
  <si>
    <t>RISK-090</t>
  </si>
  <si>
    <t>RISK-091</t>
  </si>
  <si>
    <t>RISK-092</t>
  </si>
  <si>
    <t>RISK-093</t>
  </si>
  <si>
    <t>RISK-094</t>
  </si>
  <si>
    <t>Responsiveness</t>
  </si>
  <si>
    <t>RISK-095</t>
  </si>
  <si>
    <t>RISK-096</t>
  </si>
  <si>
    <t>RISK-097</t>
  </si>
  <si>
    <t>RISK-098</t>
  </si>
  <si>
    <t>Design</t>
  </si>
  <si>
    <t>RISK-099</t>
  </si>
  <si>
    <t>RISK-100</t>
  </si>
  <si>
    <t>RISK-101</t>
  </si>
  <si>
    <t>RISK-102</t>
  </si>
  <si>
    <t>RISK-103</t>
  </si>
  <si>
    <t>RISK-104</t>
  </si>
  <si>
    <t>RISK-105</t>
  </si>
  <si>
    <t>RISK-106</t>
  </si>
  <si>
    <t>RISK-107</t>
  </si>
  <si>
    <t>RISK-108</t>
  </si>
  <si>
    <t>RISK-109</t>
  </si>
  <si>
    <t>RISK-110</t>
  </si>
  <si>
    <t>RISK-111</t>
  </si>
  <si>
    <t>RISK-112</t>
  </si>
  <si>
    <t>RISK-113</t>
  </si>
  <si>
    <t>RISK-114</t>
  </si>
  <si>
    <t>RISK-115</t>
  </si>
  <si>
    <t>RISK-116</t>
  </si>
  <si>
    <t>RISK-117</t>
  </si>
  <si>
    <t>RISK-118</t>
  </si>
  <si>
    <t>RISK-119</t>
  </si>
  <si>
    <t>RISK-120</t>
  </si>
  <si>
    <t>RISK-121</t>
  </si>
  <si>
    <t>RISK-122</t>
  </si>
  <si>
    <t>RISK-123</t>
  </si>
  <si>
    <t>RISK-124</t>
  </si>
  <si>
    <t>RISK-125</t>
  </si>
  <si>
    <t>RISK-126</t>
  </si>
  <si>
    <t>RISK-127</t>
  </si>
  <si>
    <t>RISK-128</t>
  </si>
  <si>
    <t>RISK-129</t>
  </si>
  <si>
    <t>RISK-130</t>
  </si>
  <si>
    <t>RiskID</t>
  </si>
  <si>
    <t>RiskCategory</t>
  </si>
  <si>
    <t>RiskDescription</t>
  </si>
  <si>
    <t>MitigationStrategy</t>
  </si>
  <si>
    <t>DataIntegrity</t>
  </si>
  <si>
    <t>Locationfiltershowsincorrectrequests</t>
  </si>
  <si>
    <t>Fixfilterlogictomatchexactlocation</t>
  </si>
  <si>
    <t>Dashboardcountersstaleacrosstabs</t>
  </si>
  <si>
    <t>UseBroadcastChannelorlocalStorageeventsforsync</t>
  </si>
  <si>
    <t>Sessionpersistsafterlogout(Backbutton)</t>
  </si>
  <si>
    <t>Clearcache+useCache-Control:no-store</t>
  </si>
  <si>
    <t>RequestIDcollision—REQ001reused</t>
  </si>
  <si>
    <t>UseUUIDoratomiccounterforIDs</t>
  </si>
  <si>
    <t>Noconcurrencylock—overwrites</t>
  </si>
  <si>
    <t>Implementoptimisticlockingorreal-timesync</t>
  </si>
  <si>
    <t>InvalidblogIDcrashesentireapp</t>
  </si>
  <si>
    <t>Add404handler+inputvalidation</t>
  </si>
  <si>
    <t>Nocross-tabdatasync</t>
  </si>
  <si>
    <t>ImplementlocalStorageeventlisteners</t>
  </si>
  <si>
    <t>Harddeletewithnoauditlog</t>
  </si>
  <si>
    <t>Addsoftdelete+audittrail</t>
  </si>
  <si>
    <t>Democontentvisibleinproduction</t>
  </si>
  <si>
    <t>Stripdemodatainproductionbuild</t>
  </si>
  <si>
    <t>100+commentscrashpage</t>
  </si>
  <si>
    <t>Implementpaginationorvirtualization</t>
  </si>
  <si>
    <t>Nopasswordstrengthcheckonlogin</t>
  </si>
  <si>
    <t>Enforcestrengthonregistration</t>
  </si>
  <si>
    <t>Harddeletewithnoundo</t>
  </si>
  <si>
    <t>Addrecyclebinorundotoast</t>
  </si>
  <si>
    <t>Formsacceptempty/invalidsubmissions</t>
  </si>
  <si>
    <t>Addrequired+real-timevalidation</t>
  </si>
  <si>
    <t>FrequentlocalStoragewritescauselag</t>
  </si>
  <si>
    <t>Debounceinputs+batchwrites</t>
  </si>
  <si>
    <t>Nosavefeedbackonactions</t>
  </si>
  <si>
    <t>Addtoast:"Saved!"onsuccess</t>
  </si>
  <si>
    <t>NoerrorhandlingonJSON.parse</t>
  </si>
  <si>
    <t>Wrapintry/catch+fallbackdata</t>
  </si>
  <si>
    <t>outline:noneremovesallfocusstyles</t>
  </si>
  <si>
    <t>Use:focus-visiblewithcustomstyle</t>
  </si>
  <si>
    <t>Malformed/corruptinputsaved</t>
  </si>
  <si>
    <t>Validateschemabeforesaving</t>
  </si>
  <si>
    <t>Animationsignoreprefers-reduced-motion</t>
  </si>
  <si>
    <t>RespectOSsettingwith@media(prefers-reduced-motion)</t>
  </si>
  <si>
    <t>HamburgermenumissingARIAcontrols</t>
  </si>
  <si>
    <t>Addaria-expanded+aria-controlstotoggle</t>
  </si>
  <si>
    <t>Noaria-invalidonfailedvalidation</t>
  </si>
  <si>
    <t>Setaria-invalid="true"+aria-errormessage</t>
  </si>
  <si>
    <t>Videoautoplayblockedonmobile</t>
  </si>
  <si>
    <t>Addmuted+playsinline+preload="metadata"</t>
  </si>
  <si>
    <t>JSON.parse()crashesoncorruptlocalStorage</t>
  </si>
  <si>
    <t>Wrapintry/catch+fallbacktoemptystate</t>
  </si>
  <si>
    <t>Modalhasnofocustrap</t>
  </si>
  <si>
    <t>Implementfocustrapwithfirst/lastfocusable</t>
  </si>
  <si>
    <t>READMEoutdatedwithlocalhostURLs</t>
  </si>
  <si>
    <t>UpdatetoproductionURLs+deployinstructions</t>
  </si>
  <si>
    <t>100vhbreaksmobilelayout</t>
  </si>
  <si>
    <t>UsedvhorJSfallbackfordynamicviewport</t>
  </si>
  <si>
    <t>Buttonhoverstateiscolor-only(WCAGfail)</t>
  </si>
  <si>
    <t>Addunderlineoriconchangeonhover</t>
  </si>
  <si>
    <t>Textareamissingaria-label</t>
  </si>
  <si>
    <t>Addaria-labelorassociatewith&lt;label&gt;</t>
  </si>
  <si>
    <t>Activetabindicatedbycoloronly</t>
  </si>
  <si>
    <t>Addaria-selected+visualnon-colorcue</t>
  </si>
  <si>
    <t>Horizontalscrollnotkeyboardaccessible</t>
  </si>
  <si>
    <t>Enablearrowkeynavigationinscrollcontainer</t>
  </si>
  <si>
    <t>AvatarURLenumerationrisk</t>
  </si>
  <si>
    <t>AddauthcheckorobfuscateIDs</t>
  </si>
  <si>
    <t>Logouthasnoconfirmationmodal</t>
  </si>
  <si>
    <t>Add"Areyousure?"dialog</t>
  </si>
  <si>
    <t>NoerrorhandlingonlocalStorageparse</t>
  </si>
  <si>
    <t>Try/catch+schemavalidation</t>
  </si>
  <si>
    <t>Noconcurrencycontrolonedit</t>
  </si>
  <si>
    <t>Show"Someoneisediting"warning</t>
  </si>
  <si>
    <t>CommentIDcollisionwithDate.now()</t>
  </si>
  <si>
    <t>UseUUIDornanoidforcommentIDs</t>
  </si>
  <si>
    <t>MissingARIAlabelsonicons/buttons</t>
  </si>
  <si>
    <t>Addaria-labelorvisuallyhiddentext</t>
  </si>
  <si>
    <t>Deletingpostdeletesallcomments</t>
  </si>
  <si>
    <t>Addwarning:"ThiswilldeleteXcomments"</t>
  </si>
  <si>
    <t>100vhcutsoffmobilecontent</t>
  </si>
  <si>
    <t>UseCSSenv()orJSheightcalculation</t>
  </si>
  <si>
    <t>Motionsicknessfromanimation</t>
  </si>
  <si>
    <t>Reducemotionifprefers-reduced-motion</t>
  </si>
  <si>
    <t>ButtonsongradientfailWCAGcontrast</t>
  </si>
  <si>
    <t>Increasecontrastoraddborder/shadow</t>
  </si>
  <si>
    <t>.like/.commentbtnhasnofocusstyle</t>
  </si>
  <si>
    <t>Addvisible:focusring</t>
  </si>
  <si>
    <t>.likedstatehaslowcontrast</t>
  </si>
  <si>
    <t>Usedarkershadeoriconchange</t>
  </si>
  <si>
    <t>Novirtualizationincommentssection</t>
  </si>
  <si>
    <t>ImplementReactWindoworvirtuallist</t>
  </si>
  <si>
    <t>Layoutoverflowonsmallscreens</t>
  </si>
  <si>
    <t>Addhorizontalscrollorresponsivegrid</t>
  </si>
  <si>
    <t>.community-feedmissingARIAregion</t>
  </si>
  <si>
    <t>Addrole="region"+aria-labelledby</t>
  </si>
  <si>
    <t>.post-cardtextoverflowclipped</t>
  </si>
  <si>
    <t>Usetext-overflow:ellipsisorclamp</t>
  </si>
  <si>
    <t>Inputsacceptjunkdata</t>
  </si>
  <si>
    <t>Validateonblur+real-timefeedback</t>
  </si>
  <si>
    <t>Inputfocushasweakstyle</t>
  </si>
  <si>
    <t>Usestrongoutlineorglow</t>
  </si>
  <si>
    <t>Buttonsusehovercoloronly</t>
  </si>
  <si>
    <t>Addunderlineorscaleonhover</t>
  </si>
  <si>
    <t>Tabsactivestatecolor-only</t>
  </si>
  <si>
    <t>Addbottomborderoricon</t>
  </si>
  <si>
    <t>Badgehoverhaslowcontrastchange</t>
  </si>
  <si>
    <t>Increasedeltaoraddicon</t>
  </si>
  <si>
    <t>Fontsizesarefixed</t>
  </si>
  <si>
    <t>Userem+allowbrowserzoom</t>
  </si>
  <si>
    <t>Onlyonebreakpoint</t>
  </si>
  <si>
    <t>Addmobile,tablet,desktopbreakpoints</t>
  </si>
  <si>
    <t>Badgeanimationcauseslayoutshift</t>
  </si>
  <si>
    <t>Reservespaceorusetransform</t>
  </si>
  <si>
    <t>Buttonhoverchangeisinstant</t>
  </si>
  <si>
    <t>Addtransition:all0.2sease</t>
  </si>
  <si>
    <t>Paddingfixed→overflowonsmallscreens</t>
  </si>
  <si>
    <t>Use%ormin-padding</t>
  </si>
  <si>
    <t>Colorsarehardcoded</t>
  </si>
  <si>
    <t>UseCSSvariablesfortheming</t>
  </si>
  <si>
    <t>Forminputsshowborder-onlyerrorstate</t>
  </si>
  <si>
    <t>Addredoutline+icon+aria-invalid</t>
  </si>
  <si>
    <t>Avatarfixedsizeonlargescreens</t>
  </si>
  <si>
    <t>Usemax-width+object-fit</t>
  </si>
  <si>
    <t>Tabbuttonshavenofocusindicator</t>
  </si>
  <si>
    <t>Add:focus-visiblestyle</t>
  </si>
  <si>
    <t>Tablebuttonscolor-onlyhover</t>
  </si>
  <si>
    <t>Addunderlineorbackgroundshift</t>
  </si>
  <si>
    <t>Tablescrollhardonmobile</t>
  </si>
  <si>
    <t>Stackcolumnsoraddswipehint</t>
  </si>
  <si>
    <t>Rowcolorshavelowcontrast</t>
  </si>
  <si>
    <t>Increasecontrastratioto≥3:1</t>
  </si>
  <si>
    <t>Fontsizesfixedonzoom</t>
  </si>
  <si>
    <t>Useremunits+respectbrowserzoom</t>
  </si>
  <si>
    <t>Cardpaddingcausesoverflow</t>
  </si>
  <si>
    <t>Usebox-sizing:border-box+responsivepadding</t>
  </si>
  <si>
    <t>Animationcauseslayoutshift</t>
  </si>
  <si>
    <t>UsetransformorFLIPtechnique</t>
  </si>
  <si>
    <t>Tableheadersmissingsemantics</t>
  </si>
  <si>
    <t>Add&lt;thscope="col"&gt;</t>
  </si>
  <si>
    <t>Buttonfocusnotvisible</t>
  </si>
  <si>
    <t>Addvisiblefocusring</t>
  </si>
  <si>
    <t>Summarystatsusecolor-onlymeaning</t>
  </si>
  <si>
    <t>Addicons+aria-label</t>
  </si>
  <si>
    <t>Mobilehasonlyonebreakpoint</t>
  </si>
  <si>
    <t>Addfluidbreakpoints(min-width)</t>
  </si>
  <si>
    <t>Tableoverflowtrapskeyboard</t>
  </si>
  <si>
    <t>Allowarrownavigation+focusmanagement</t>
  </si>
  <si>
    <t>ColorshardcodedinJS/CSS</t>
  </si>
  <si>
    <t>MigratetoCSSvariables</t>
  </si>
  <si>
    <t>localStoragesync/quotaloss</t>
  </si>
  <si>
    <t>Monitorquota+warnat80%</t>
  </si>
  <si>
    <t>State+Storageraceconditions</t>
  </si>
  <si>
    <t>Usemutexorversionedupdates</t>
  </si>
  <si>
    <t>window.confirmblocksUI</t>
  </si>
  <si>
    <t>Replacewithcustommodal</t>
  </si>
  <si>
    <t>Inputvalidationallowsmalformeddata</t>
  </si>
  <si>
    <t>Validateformat+length</t>
  </si>
  <si>
    <t>Missinglabels/scopeonformelements</t>
  </si>
  <si>
    <t>Add&lt;label&gt;+for/id+scope</t>
  </si>
  <si>
    <t>Statusstringmatchingfails("pending"vs"Pending")</t>
  </si>
  <si>
    <t>Normalizecasebeforecompare</t>
  </si>
  <si>
    <t>Tableoverflowonmobile</t>
  </si>
  <si>
    <t>Stackorhorizontalscrollwithindicators</t>
  </si>
  <si>
    <t>Immutabilitybroken—shallowcopymutation</t>
  </si>
  <si>
    <t>UsestructuredCloneordeepcopy</t>
  </si>
  <si>
    <t>Focusstatesmissingonbuttons/inputs</t>
  </si>
  <si>
    <t>Add:focus-visibleglobally</t>
  </si>
  <si>
    <t>Lighttextonlightbackground</t>
  </si>
  <si>
    <t>Ensure≥4.5:1contrast</t>
  </si>
  <si>
    <t>Overflow/non-responsiveunder350px</t>
  </si>
  <si>
    <t>Addmin-width:320px+fluidlayout</t>
  </si>
  <si>
    <t>Hover-onlyfeedbackontouchdevices</t>
  </si>
  <si>
    <t>Add:activestate+tapfeedback</t>
  </si>
  <si>
    <t>Userem+allowzoom</t>
  </si>
  <si>
    <t>ValidationreliesonCSSonly</t>
  </si>
  <si>
    <t>CombinewithJSvalidation</t>
  </si>
  <si>
    <t>Animationlagonlow-enddevices</t>
  </si>
  <si>
    <t>Usewill-change+reducedmotion</t>
  </si>
  <si>
    <t>Chartsclip/overflowonsmallscreens</t>
  </si>
  <si>
    <t>Makeresponsiveoraddscroll</t>
  </si>
  <si>
    <t>Buttonsshowcolor-onlystate(disabled)</t>
  </si>
  <si>
    <t>Addiconoropacitychange</t>
  </si>
  <si>
    <t>LocalStorage data loss on browser clear</t>
  </si>
  <si>
    <t>LocalStorage size limitations (5MB)</t>
  </si>
  <si>
    <t>Enhance real-time validation with clearer error messages</t>
  </si>
  <si>
    <t>Large dataset slows down dashboard</t>
  </si>
  <si>
    <t>Data corruption in LocalStorage</t>
  </si>
  <si>
    <t>Role spoofing via LocalStorage manipulation</t>
  </si>
  <si>
    <t>Rotate all keys + remove .env from repo history</t>
  </si>
  <si>
    <t>Full user object stored in plaintext LocalStorage</t>
  </si>
  <si>
    <t>Store only JWT token + encrypt sensitive fields</t>
  </si>
  <si>
    <t>Sanitize on input &amp; output using allowlist renderer</t>
  </si>
  <si>
    <t>Admin panel accessible via direct URL</t>
  </si>
  <si>
    <t>Unprotected admin routes allow access</t>
  </si>
  <si>
    <t>No server-side input sanitization</t>
  </si>
  <si>
    <t>Sensitive data exposed in unencrypted LocalStorage</t>
  </si>
  <si>
    <t>Encrypt LocalStorage using CryptoJS / WebCrypto</t>
  </si>
  <si>
    <t>Add confirmation modal + audit log</t>
  </si>
  <si>
    <t>Plaintext passwords stored in LocalStorage</t>
  </si>
  <si>
    <t>No login required to post or comment</t>
  </si>
  <si>
    <t>Require authenticated session for write actions</t>
  </si>
  <si>
    <t>Purge repo history + rotate keys</t>
  </si>
  <si>
    <t>Achieve &gt;80% coverage with Jest + RTL</t>
  </si>
  <si>
    <t>Add moderation queue or CAPTCHA</t>
  </si>
  <si>
    <t>Use safe HTML renderer + DOMPurify</t>
  </si>
  <si>
    <t>Escape + strip dangerous attributes</t>
  </si>
  <si>
    <t>Invalid email formats accepted</t>
  </si>
  <si>
    <t>Use regex/email validator library</t>
  </si>
  <si>
    <t>Weak passwords accepted</t>
  </si>
  <si>
    <t>Enforce min 8 chars, uppercase, lowercase, number, symbol</t>
  </si>
  <si>
    <t>No RequestID format validation</t>
  </si>
  <si>
    <t>Enforce REQ-XXXX regex pattern</t>
  </si>
  <si>
    <t>Focus indicators removed (outline:none)</t>
  </si>
  <si>
    <t>DEF-006</t>
  </si>
  <si>
    <t>Admin Panel Direct URL Access</t>
  </si>
  <si>
    <t>Admin Panel</t>
  </si>
  <si>
    <t>Admin panel accessible without authentication via direct URL</t>
  </si>
  <si>
    <t>Redirect to login page</t>
  </si>
  <si>
    <t>Full admin panel loads and is usable</t>
  </si>
  <si>
    <t>DEF-007</t>
  </si>
  <si>
    <t>Self-Approval Bypass</t>
  </si>
  <si>
    <t>Request Table</t>
  </si>
  <si>
    <t>Resident can approve their own pickup request</t>
  </si>
  <si>
    <t>Approval requires admin role</t>
  </si>
  <si>
    <t>Request approved instantly by resident</t>
  </si>
  <si>
    <t>DEF-008</t>
  </si>
  <si>
    <t>Cross-User Request Deletion</t>
  </si>
  <si>
    <t>Resident can delete pickup requests of other users</t>
  </si>
  <si>
    <t>Delete option disabled for non-owned requests</t>
  </si>
  <si>
    <t>Request deleted successfully</t>
  </si>
  <si>
    <t>DEF-009</t>
  </si>
  <si>
    <t>LocalStorage Role Tampering</t>
  </si>
  <si>
    <t>Any user can become admin by editing localStorage</t>
  </si>
  <si>
    <t>Server rejects unauthorized action</t>
  </si>
  <si>
    <t>Full admin access granted</t>
  </si>
  <si>
    <t>DEF-010</t>
  </si>
  <si>
    <t>Session Persists After Logout</t>
  </si>
  <si>
    <t>Logout does not terminate session; back button restores access</t>
  </si>
  <si>
    <t>Redirected to login screen</t>
  </si>
  <si>
    <t>User remains fully logged in</t>
  </si>
  <si>
    <t>Major</t>
  </si>
  <si>
    <t>DEF-011</t>
  </si>
  <si>
    <t>No Password Policy Enforcement</t>
  </si>
  <si>
    <t>Registration</t>
  </si>
  <si>
    <t>Registration accepts weak passwords like "1"</t>
  </si>
  <si>
    <t>Server rejects weak password</t>
  </si>
  <si>
    <t>Account created and user logged in</t>
  </si>
  <si>
    <t>DEF-012</t>
  </si>
  <si>
    <t>Location Filter Mismatch</t>
  </si>
  <si>
    <t>Selecting "Eldoret" shows Nairobi requests</t>
  </si>
  <si>
    <t>Only Eldoret requests displayed</t>
  </si>
  <si>
    <t>Nairobi and other location requests appear</t>
  </si>
  <si>
    <t>DEF-013</t>
  </si>
  <si>
    <t>Bulk Update Ignores Selection After Sort</t>
  </si>
  <si>
    <t>Bulk update applies to all visible rows after sorting</t>
  </si>
  <si>
    <t>Only selected rows updated</t>
  </si>
  <si>
    <t>All rows on current page updated</t>
  </si>
  <si>
    <t>DEF-014</t>
  </si>
  <si>
    <t>Invalid Email Accepted</t>
  </si>
  <si>
    <t>Email validation allows "a@b", "test@"</t>
  </si>
  <si>
    <t>Validation error: Invalid email</t>
  </si>
  <si>
    <t>DEF-015</t>
  </si>
  <si>
    <t>Hamburger Menu Missing ARIA</t>
  </si>
  <si>
    <t>Mobile Navigation</t>
  </si>
  <si>
    <t>Hamburger menu lacks accessibility attributes</t>
  </si>
  <si>
    <t>aria-expanded, aria-controls, aria-label present</t>
  </si>
  <si>
    <t>No ARIA attributes</t>
  </si>
  <si>
    <t>DEF-016</t>
  </si>
  <si>
    <t>Blog Post Without Login</t>
  </si>
  <si>
    <t>Blog Module</t>
  </si>
  <si>
    <t>Anyone can create blog posts without authentication</t>
  </si>
  <si>
    <t>Redirect to login or block submission</t>
  </si>
  <si>
    <t>Blog post created and published anonymously</t>
  </si>
  <si>
    <t>DEF-017</t>
  </si>
  <si>
    <t>Blog Admin Panel No Auth</t>
  </si>
  <si>
    <t>Blog admin panel accessible without login via /admin/blog</t>
  </si>
  <si>
    <t>Full blog admin controls visible and functional</t>
  </si>
  <si>
    <t>DEF-018</t>
  </si>
  <si>
    <t>Dashboard Real-Time Failure</t>
  </si>
  <si>
    <t>Dashboard counters do not update across browser tabs</t>
  </si>
  <si>
    <t>Pending count decreases instantly (e.g. 49 → 48)</t>
  </si>
  <si>
    <t>Count remains stale until manual refresh</t>
  </si>
  <si>
    <t>DEF-019</t>
  </si>
  <si>
    <t>API Rate Limiting Missing</t>
  </si>
  <si>
    <t>Backend/API</t>
  </si>
  <si>
    <t>No rate limiting on critical endpoints (login, status update)</t>
  </si>
  <si>
    <t>Requests throttled after limit (e.g. 429 Too Many Requests)</t>
  </si>
  <si>
    <t>All requests succeed without throttling</t>
  </si>
  <si>
    <t>DEF-020</t>
  </si>
  <si>
    <t>CSRF Protection Absent</t>
  </si>
  <si>
    <t>No CSRF tokens on state-changing requests</t>
  </si>
  <si>
    <t>Request rejected due to missing CSRF token</t>
  </si>
  <si>
    <t>Request executes and updates status</t>
  </si>
  <si>
    <t>1. Open browser in incognito</t>
  </si>
  <si>
    <t>2. Navigate to /admin</t>
  </si>
  <si>
    <t>3. Observe page</t>
  </si>
  <si>
    <t>1. Login as resident</t>
  </si>
  <si>
    <t>2. Create new pickup request</t>
  </si>
  <si>
    <t>3. Click Approve on own request</t>
  </si>
  <si>
    <t>1. Login as User A</t>
  </si>
  <si>
    <t>2. View all requests</t>
  </si>
  <si>
    <t>3. Delete request created by User B</t>
  </si>
  <si>
    <t>2. Open DevTools → localStorage → set role: "admin"</t>
  </si>
  <si>
    <t>3. Refresh and access admin features</t>
  </si>
  <si>
    <t>2. Click Logout</t>
  </si>
  <si>
    <t>3. Press browser back button</t>
  </si>
  <si>
    <t>1. Go to registration form</t>
  </si>
  <si>
    <t>2. Enter password "1"</t>
  </si>
  <si>
    <t>1. Go to request table</t>
  </si>
  <si>
    <t>2. Filter by Location: Eldoret</t>
  </si>
  <si>
    <t>1. Sort table by date</t>
  </si>
  <si>
    <t>2. Select 2 specific rows</t>
  </si>
  <si>
    <t>3. Click Bulk Update</t>
  </si>
  <si>
    <t>1. Enter email as "test@"</t>
  </si>
  <si>
    <t>2. Submit registration</t>
  </si>
  <si>
    <t>1. Open site on mobile</t>
  </si>
  <si>
    <t>2. Inspect hamburger button</t>
  </si>
  <si>
    <t>2. Navigate to /blog/create</t>
  </si>
  <si>
    <t>3. Fill title and content</t>
  </si>
  <si>
    <t>4. Click Publish</t>
  </si>
  <si>
    <t>1. Open incognito</t>
  </si>
  <si>
    <t>2. Go directly to /admin/blog</t>
  </si>
  <si>
    <t>3. View dashboard</t>
  </si>
  <si>
    <t>1. Open Dashboard in Tab A</t>
  </si>
  <si>
    <t>2. In Tab B, mark request as Completed</t>
  </si>
  <si>
    <t>3. Switch back to Tab A</t>
  </si>
  <si>
    <t>1. Use script to send 1000+ POST requests to /api/update-status</t>
  </si>
  <si>
    <t>2. Monitor response</t>
  </si>
  <si>
    <t>1. Login to app</t>
  </si>
  <si>
    <t>2. Craft malicious form on external site posting to /api/update-status</t>
  </si>
  <si>
    <t>3. Submit from external site while logged in</t>
  </si>
  <si>
    <t>DEF-021</t>
  </si>
  <si>
    <t>Password Stored in Plain Text</t>
  </si>
  <si>
    <t>Database</t>
  </si>
  <si>
    <t>User passwords stored in plain text in database</t>
  </si>
  <si>
    <t>1. Login with password "secret123"</t>
  </si>
  <si>
    <t>Password should be hashed (bcrypt)</t>
  </si>
  <si>
    <t>Password visible in DB as "secret123"</t>
  </si>
  <si>
    <t>2. Check users table in database</t>
  </si>
  <si>
    <t>DEF-022</t>
  </si>
  <si>
    <t>No Input Sanitization on Search</t>
  </si>
  <si>
    <t>Search</t>
  </si>
  <si>
    <t>SQL injection possible via search field</t>
  </si>
  <si>
    <t>1. Enter ' OR 1=1 -- in search box</t>
  </si>
  <si>
    <t>Search should be sanitized or use prepared statements</t>
  </si>
  <si>
    <t>All records returned (SQL injection success)</t>
  </si>
  <si>
    <t>2. Submit search</t>
  </si>
  <si>
    <t>DEF-023</t>
  </si>
  <si>
    <t>File Upload No Validation</t>
  </si>
  <si>
    <t>Upload</t>
  </si>
  <si>
    <t>Any file type can be uploaded including .exe</t>
  </si>
  <si>
    <t>1. Upload test.exe file</t>
  </si>
  <si>
    <t>File type validation rejects non-allowed files</t>
  </si>
  <si>
    <t>File uploads and executes</t>
  </si>
  <si>
    <t>2. Check server directory</t>
  </si>
  <si>
    <t>DEF-024</t>
  </si>
  <si>
    <t>No CAPTCHA on Registration</t>
  </si>
  <si>
    <t>Automated bot registration possible</t>
  </si>
  <si>
    <t>1. Use script to register 100 accounts</t>
  </si>
  <si>
    <t>Rate limit or CAPTCHA blocks bots</t>
  </si>
  <si>
    <t>100 accounts created in 30 seconds</t>
  </si>
  <si>
    <t>2. Monitor registration endpoint</t>
  </si>
  <si>
    <t>DEF-025</t>
  </si>
  <si>
    <t>Admin Logs Missing</t>
  </si>
  <si>
    <t>No audit trail of admin actions</t>
  </si>
  <si>
    <t>1. Admin approves 5 requests</t>
  </si>
  <si>
    <t>Logs show who, what, when</t>
  </si>
  <si>
    <t>No log entries created</t>
  </si>
  <si>
    <t>2. Check audit log table</t>
  </si>
  <si>
    <t>DEF-026</t>
  </si>
  <si>
    <t>Email Confirmation Bypassed</t>
  </si>
  <si>
    <t>Users can log in without verifying email</t>
  </si>
  <si>
    <t>1. Register with unowned email</t>
  </si>
  <si>
    <t>Account activation requires email click</t>
  </si>
  <si>
    <t>Login successful without verification</t>
  </si>
  <si>
    <t>2. Do not click confirmation link</t>
  </si>
  <si>
    <t>3. Attempt login</t>
  </si>
  <si>
    <t>DEF-027</t>
  </si>
  <si>
    <t>Export CSV Includes Sensitive Data</t>
  </si>
  <si>
    <t>Reports</t>
  </si>
  <si>
    <t>CSV export contains phone numbers and addresses</t>
  </si>
  <si>
    <t>1. Click Export All Requests</t>
  </si>
  <si>
    <t>Only non-sensitive fields exported</t>
  </si>
  <si>
    <t>Full PII exported to CSV</t>
  </si>
  <si>
    <t>2. Download file</t>
  </si>
  <si>
    <t>DEF-028</t>
  </si>
  <si>
    <t>No Session Timeout</t>
  </si>
  <si>
    <t>User session never expires</t>
  </si>
  <si>
    <t>1. Login and leave browser open for 24 hours</t>
  </si>
  <si>
    <t>Session expires after 30 mins inactivity</t>
  </si>
  <si>
    <t>User still logged in after 24 hours</t>
  </si>
  <si>
    <t>2. Return after 24 hours</t>
  </si>
  <si>
    <t>DEF-029</t>
  </si>
  <si>
    <t>Pagination Broken on Large Data</t>
  </si>
  <si>
    <t>Pagination shows incorrect page count</t>
  </si>
  <si>
    <t>1. Go to requests with 500+ entries</t>
  </si>
  <si>
    <t>Page count = 50 pages (10 per page)</t>
  </si>
  <si>
    <t>Page count shows 1 or wrong number</t>
  </si>
  <si>
    <t>2. Click page 2</t>
  </si>
  <si>
    <t>DEF-030</t>
  </si>
  <si>
    <t>Search Returns Deleted Records</t>
  </si>
  <si>
    <t>Soft-deleted requests appear in search</t>
  </si>
  <si>
    <t>1. Delete a request</t>
  </si>
  <si>
    <t>Deleted records excluded from search</t>
  </si>
  <si>
    <t>Deleted request appears in results</t>
  </si>
  <si>
    <t>2. Search by request ID</t>
  </si>
  <si>
    <t>DEF-031</t>
  </si>
  <si>
    <t>No Rate Limit on SMS API</t>
  </si>
  <si>
    <t>SMS</t>
  </si>
  <si>
    <t>Unlimited SMS triggers via API</t>
  </si>
  <si>
    <t>1. Send 1000 SMS via /api/send-sms</t>
  </si>
  <si>
    <t>SMS throttled after 100/day</t>
  </si>
  <si>
    <t>1000 SMS sent successfully</t>
  </si>
  <si>
    <t>2. Monitor SMS gateway</t>
  </si>
  <si>
    <t>DEF-032</t>
  </si>
  <si>
    <t>Broken Image Links in Blog</t>
  </si>
  <si>
    <t>Blog images return 404</t>
  </si>
  <si>
    <t>1. View published blog post</t>
  </si>
  <si>
    <t>All images load correctly</t>
  </si>
  <si>
    <t>Multiple images show broken icon</t>
  </si>
  <si>
    <t>2. Scroll to image section</t>
  </si>
  <si>
    <t>DEF-033</t>
  </si>
  <si>
    <t>Keyboard Trap in Modal</t>
  </si>
  <si>
    <t>Users cannot exit modal using keyboard</t>
  </si>
  <si>
    <t>1. Open any modal (e.g. request details)</t>
  </si>
  <si>
    <t>Tab/Esc closes modal</t>
  </si>
  <si>
    <t>Focus trapped inside modal</t>
  </si>
  <si>
    <t>2. Press Tab repeatedly</t>
  </si>
  <si>
    <t>DEF-034</t>
  </si>
  <si>
    <t>No Alt Text on Icons</t>
  </si>
  <si>
    <t>Icons</t>
  </si>
  <si>
    <t>All icons lack alt attributes</t>
  </si>
  <si>
    <t>1. Run accessibility scan</t>
  </si>
  <si>
    <t>All icons have descriptive alt text</t>
  </si>
  <si>
    <t>No alt text on 40+ icons</t>
  </si>
  <si>
    <t>2. View source of dashboard icons</t>
  </si>
  <si>
    <t>DEF-035</t>
  </si>
  <si>
    <t>Filter Reset Clears Form</t>
  </si>
  <si>
    <t>Data Entry</t>
  </si>
  <si>
    <t>Reset button clears unsaved form data without warning</t>
  </si>
  <si>
    <t>1. Fill pickup form halfway</t>
  </si>
  <si>
    <t>Confirmation: "Discard changes?"</t>
  </si>
  <si>
    <t>Form clears silently, data lost</t>
  </si>
  <si>
    <t>2. Click Reset</t>
  </si>
  <si>
    <t>DEF-036</t>
  </si>
  <si>
    <t>Login Brute Force Possible</t>
  </si>
  <si>
    <t>No lockout after failed login attempts</t>
  </si>
  <si>
    <t>1. Enter wrong password 50 times</t>
  </si>
  <si>
    <t>Account locked after 5 failed attempts</t>
  </si>
  <si>
    <t>No lockout – unlimited attempts</t>
  </si>
  <si>
    <t>2. Observe login behavior</t>
  </si>
  <si>
    <t>DEF-037</t>
  </si>
  <si>
    <t>Remember Me Stores Token in localStorage</t>
  </si>
  <si>
    <t>Remember Me saves JWT in localStorage (not HttpOnly cookie)</t>
  </si>
  <si>
    <t>1. Login with "Remember Me" checked</t>
  </si>
  <si>
    <t>JWT stored in secure HttpOnly cookie</t>
  </si>
  <si>
    <t>JWT visible in localStorage</t>
  </si>
  <si>
    <t>2. Open DevTools → localStorage</t>
  </si>
  <si>
    <t>DEF-038</t>
  </si>
  <si>
    <t>Profile Photo Upload No Resize</t>
  </si>
  <si>
    <t>Users can upload 50MB image files</t>
  </si>
  <si>
    <t>1. Upload 50MB profile photo</t>
  </si>
  <si>
    <t>Resize to &lt;2MB or reject large files</t>
  </si>
  <si>
    <t>File uploads fully, crashes browser</t>
  </si>
  <si>
    <t>2. Check upload progress</t>
  </si>
  <si>
    <t>DEF-039</t>
  </si>
  <si>
    <t>Admin Can Delete Own Account</t>
  </si>
  <si>
    <t>Admin can delete their own active account</t>
  </si>
  <si>
    <t>Delete button disabled for self</t>
  </si>
  <si>
    <t>Account deleted → system locked</t>
  </si>
  <si>
    <t>2. Go to user list → delete self</t>
  </si>
  <si>
    <t>DEF-040</t>
  </si>
  <si>
    <t>No Input Length Limit on Notes</t>
  </si>
  <si>
    <t>Notes field accepts unlimited characters</t>
  </si>
  <si>
    <t>1. Paste 10,000+ characters into notes</t>
  </si>
  <si>
    <t>Truncate or warn at 1000 chars</t>
  </si>
  <si>
    <t>Database error or UI freeze</t>
  </si>
  <si>
    <t>DEF-041</t>
  </si>
  <si>
    <t>Timezone Mismatch in Logs</t>
  </si>
  <si>
    <t>Logging</t>
  </si>
  <si>
    <t>Timestamp in logs uses server time, not user timezone</t>
  </si>
  <si>
    <t>1. User in EAT completes request at 3 PM</t>
  </si>
  <si>
    <t>Log shows 3:00 PM EAT</t>
  </si>
  <si>
    <t>Log shows UTC time (12:00 PM)</t>
  </si>
  <si>
    <t>2. Check activity log</t>
  </si>
  <si>
    <t>DEF-042</t>
  </si>
  <si>
    <t>Mobile View Overlap on Tables</t>
  </si>
  <si>
    <t>Table columns overlap on small screens</t>
  </si>
  <si>
    <t>1. Open request table on phone</t>
  </si>
  <si>
    <t>Horizontal scroll or responsive layout</t>
  </si>
  <si>
    <t>Columns overlap, unreadable</t>
  </si>
  <si>
    <t>2. Scroll horizontally</t>
  </si>
  <si>
    <t>DEF-043</t>
  </si>
  <si>
    <t>Export PDF Missing Footer</t>
  </si>
  <si>
    <t>PDF export has no page number or date</t>
  </si>
  <si>
    <t>1. Export request report to PDF</t>
  </si>
  <si>
    <t>PDF includes footer: "Page 1 of 3 | Exported on [date]"</t>
  </si>
  <si>
    <t>No footer, blank space</t>
  </si>
  <si>
    <t>2. Open downloaded PDF</t>
  </si>
  <si>
    <t>DEF-044</t>
  </si>
  <si>
    <t>Role Change Not Reflected Until Relogin</t>
  </si>
  <si>
    <t>User role update requires relogin to take effect</t>
  </si>
  <si>
    <t>1. Admin changes user from Resident → Driver</t>
  </si>
  <si>
    <t>Changes apply immediately on next request</t>
  </si>
  <si>
    <t>User still sees old role until relogin</t>
  </si>
  <si>
    <t>2. User refreshes dashboard without relogin</t>
  </si>
  <si>
    <t>DEF-045</t>
  </si>
  <si>
    <t>No Backup of Uploaded Files</t>
  </si>
  <si>
    <t>Storage</t>
  </si>
  <si>
    <t>Uploaded files not backed up or versioned</t>
  </si>
  <si>
    <t>1. Upload driver license photo</t>
  </si>
  <si>
    <t>Files stored in redundant storage or versioned</t>
  </si>
  <si>
    <t>Single copy – risk of data loss</t>
  </si>
  <si>
    <t>2. Simulate server failure</t>
  </si>
  <si>
    <t>DEF-046</t>
  </si>
  <si>
    <t>SQL Injection in Location Filter</t>
  </si>
  <si>
    <t>Location filter vulnerable to SQL injection</t>
  </si>
  <si>
    <t>1. Enter ' OR 1=1 -- in location dropdown</t>
  </si>
  <si>
    <t>Filter sanitized, shows error</t>
  </si>
  <si>
    <t>All locations returned</t>
  </si>
  <si>
    <t>2. Submit filter</t>
  </si>
  <si>
    <t>DEF-047</t>
  </si>
  <si>
    <t>No HTTPS Enforcement</t>
  </si>
  <si>
    <t>HTTP requests accepted, no HSTS</t>
  </si>
  <si>
    <t>1. Access site via http://domain.com</t>
  </si>
  <si>
    <t>Automatic redirect to HTTPS</t>
  </si>
  <si>
    <t>HTTP loads successfully</t>
  </si>
  <si>
    <t>2. Check browser address bar</t>
  </si>
  <si>
    <t>DEF-048</t>
  </si>
  <si>
    <t>Duplicate Request IDs Possible</t>
  </si>
  <si>
    <t>Request Management</t>
  </si>
  <si>
    <t>Same request ID generated for different requests</t>
  </si>
  <si>
    <t>1. Create 2 requests within 1 second</t>
  </si>
  <si>
    <t>Unique sequential IDs generated</t>
  </si>
  <si>
    <t>Duplicate ID assigned</t>
  </si>
  <si>
    <t>2. Check request table</t>
  </si>
  <si>
    <t>DEF-049</t>
  </si>
  <si>
    <t>No Phone Number Validation</t>
  </si>
  <si>
    <t>Invalid phone numbers accepted (e.g. "abc")</t>
  </si>
  <si>
    <t>1. Enter phone as "abc123"</t>
  </si>
  <si>
    <t>KE format validation (+254xxxxxxxxx)</t>
  </si>
  <si>
    <t>Phone saved as "abc123"</t>
  </si>
  <si>
    <t>2. Complete registration</t>
  </si>
  <si>
    <t>DEF-050</t>
  </si>
  <si>
    <t>Cache Poisoning Possible</t>
  </si>
  <si>
    <t>Static assets cached indefinitely</t>
  </si>
  <si>
    <t>1. Deploy updated CSS file</t>
  </si>
  <si>
    <t>Versioned cache busting (style.v2.css)</t>
  </si>
  <si>
    <t>Old CSS served from CDN cache</t>
  </si>
  <si>
    <t>2. Hard refresh browser</t>
  </si>
  <si>
    <t>DEF-051</t>
  </si>
  <si>
    <t>No Error Logging on API Failure</t>
  </si>
  <si>
    <t>Backend</t>
  </si>
  <si>
    <t>500 errors not logged with stack trace</t>
  </si>
  <si>
    <t>1. Trigger API error (invalid request)</t>
  </si>
  <si>
    <t>Error logged with full stack trace</t>
  </si>
  <si>
    <t>Generic "Internal error" only</t>
  </si>
  <si>
    <t>2. Check server logs</t>
  </si>
  <si>
    <t>DEF-052</t>
  </si>
  <si>
    <t>Password Reset No Rate Limit</t>
  </si>
  <si>
    <t>Unlimited password reset requests possible</t>
  </si>
  <si>
    <t>1. Request password reset 100 times</t>
  </si>
  <si>
    <t>Throttled after 3 attempts/hour</t>
  </si>
  <si>
    <t>100 emails sent instantly</t>
  </si>
  <si>
    <t>2. Check email inbox</t>
  </si>
  <si>
    <t>DEF-053</t>
  </si>
  <si>
    <t>No Content Security Policy</t>
  </si>
  <si>
    <t>No CSP header – XSS via inline scripts possible</t>
  </si>
  <si>
    <t>1. Check response headers</t>
  </si>
  <si>
    <t>CSP header present (script-src 'self')</t>
  </si>
  <si>
    <t>No CSP header in response</t>
  </si>
  <si>
    <t>2. Run security scan</t>
  </si>
  <si>
    <t>DEF-054</t>
  </si>
  <si>
    <t>Inactive Users Can Login</t>
  </si>
  <si>
    <t>Disabled accounts still accessible</t>
  </si>
  <si>
    <t>1. Admin disables user account</t>
  </si>
  <si>
    <t>Login blocked with "Account disabled"</t>
  </si>
  <si>
    <t>Login successful</t>
  </si>
  <si>
    <t>2. Disabled user attempts login</t>
  </si>
  <si>
    <t>DEF-055</t>
  </si>
  <si>
    <t>No Database Index on Request Status</t>
  </si>
  <si>
    <t>Slow queries on status filtering (500ms+)</t>
  </si>
  <si>
    <t>1. Filter requests by "Pending"</t>
  </si>
  <si>
    <t>&lt;100ms query response</t>
  </si>
  <si>
    <t>Slow query detected in logs</t>
  </si>
  <si>
    <t>2. Check database query time</t>
  </si>
  <si>
    <t>AUTH-011</t>
  </si>
  <si>
    <t>Forgot password option</t>
  </si>
  <si>
    <t>1. Login in with your credentials.</t>
  </si>
  <si>
    <t>An option to change your password</t>
  </si>
  <si>
    <t>Completed</t>
  </si>
  <si>
    <t>DEF-A011</t>
  </si>
  <si>
    <t>2. Put incorrect password</t>
  </si>
  <si>
    <t>Pick-up Scheduling</t>
  </si>
  <si>
    <t>1. Navigate to Home page.</t>
  </si>
  <si>
    <t>An error that it is a past date</t>
  </si>
  <si>
    <t>2. Fill the required fields.</t>
  </si>
  <si>
    <t>3. On the preffered pickup date, try put a past date.</t>
  </si>
  <si>
    <t>WM-011</t>
  </si>
  <si>
    <t>WM-012</t>
  </si>
  <si>
    <t>Profile Edit</t>
  </si>
  <si>
    <t>1. Log in to the clean city app</t>
  </si>
  <si>
    <t>2. Hover to the profile tab.</t>
  </si>
  <si>
    <t>Be able to change details of the profile i.e change email address</t>
  </si>
  <si>
    <t>DEF-W011</t>
  </si>
  <si>
    <t>DEF-056</t>
  </si>
  <si>
    <t>Incase a user forgets their password, they have no option to reset it</t>
  </si>
  <si>
    <t>1. Log in using your email address.</t>
  </si>
  <si>
    <t>2. Incase password if forgotten, check for reset password option</t>
  </si>
  <si>
    <t xml:space="preserve">Should be able to reset password. </t>
  </si>
  <si>
    <t>There's no reset password link</t>
  </si>
  <si>
    <t>Rehema</t>
  </si>
  <si>
    <t>DEF-057</t>
  </si>
  <si>
    <t>Reset Password' Feature</t>
  </si>
  <si>
    <t>Scheduling waste pickups with past dates</t>
  </si>
  <si>
    <t>A user is able to schedule waste pickups with past dates</t>
  </si>
  <si>
    <t xml:space="preserve">1. On the home page, fill out your information </t>
  </si>
  <si>
    <t>2. On the schedule waste pickup date, put a past date. This will go through</t>
  </si>
  <si>
    <t>Past dates should be grey out or users get an error when they put a past date.</t>
  </si>
  <si>
    <t>Waste pickups can be scheduled with past dates</t>
  </si>
  <si>
    <t>DEF-058</t>
  </si>
  <si>
    <t>Inability to edit profile</t>
  </si>
  <si>
    <t>No option to edit your profile incase you want to change email or username</t>
  </si>
  <si>
    <t>1. Navigate to the dashboard</t>
  </si>
  <si>
    <t>2. Try edit profile.</t>
  </si>
  <si>
    <t>Should be able to edit profile</t>
  </si>
  <si>
    <t>No option to edit profile</t>
  </si>
  <si>
    <t>ADMIN-005</t>
  </si>
  <si>
    <t>Verify admin login on CleanCityAdminPanel</t>
  </si>
  <si>
    <t>Access to the clean city admin panel</t>
  </si>
  <si>
    <t>1. Login to the admin panel</t>
  </si>
  <si>
    <t>2. Click on email input field</t>
  </si>
  <si>
    <t>3. Type the admin email address</t>
  </si>
  <si>
    <t>Element expected to be interactable</t>
  </si>
  <si>
    <t>DEF-AD005</t>
  </si>
  <si>
    <t>DEF-059</t>
  </si>
  <si>
    <t>Email input field not interactable during login automation</t>
  </si>
  <si>
    <t>During automated login testing using Katalon Recorder, the email field is not interactable</t>
  </si>
  <si>
    <t>1.Navigate to the admin panel</t>
  </si>
  <si>
    <t>2. Click on email input.</t>
  </si>
  <si>
    <t>3. Type admin@cleancity.com</t>
  </si>
  <si>
    <t>Email input should accept typing immediately</t>
  </si>
  <si>
    <t>Katalon report: Element Is not currently interactable and may not be manipulated</t>
  </si>
  <si>
    <t>Closed</t>
  </si>
  <si>
    <t>Risk_Severity</t>
  </si>
  <si>
    <t xml:space="preserve">Total </t>
  </si>
  <si>
    <t>Victor Mutinda</t>
  </si>
  <si>
    <t>Rehema Shammah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</si>
</sst>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mbria"/>
      <family val="1"/>
      <charset val="238"/>
    </font>
    <font>
      <b/>
      <sz val="9"/>
      <color theme="0"/>
      <name val="Cambria"/>
      <family val="1"/>
      <charset val="238"/>
    </font>
    <font>
      <sz val="11"/>
      <color theme="1"/>
      <name val="Cambria"/>
      <family val="1"/>
      <charset val="238"/>
    </font>
    <font>
      <sz val="11"/>
      <color theme="0"/>
      <name val="Cambria"/>
      <family val="1"/>
      <charset val="238"/>
    </font>
    <font>
      <b/>
      <sz val="14"/>
      <color theme="1"/>
      <name val="Cambria"/>
      <family val="1"/>
      <charset val="238"/>
    </font>
    <font>
      <sz val="14"/>
      <color theme="1"/>
      <name val="Cambria"/>
      <family val="1"/>
      <charset val="238"/>
    </font>
    <font>
      <b/>
      <sz val="11"/>
      <color theme="1"/>
      <name val="Cambria"/>
      <family val="1"/>
      <charset val="238"/>
    </font>
    <font>
      <sz val="12"/>
      <color theme="1"/>
      <name val="Cambria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3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6" fillId="4" borderId="0" xfId="0" applyFont="1" applyFill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0" xfId="0" applyFont="1"/>
    <xf numFmtId="0" fontId="6" fillId="0" borderId="1" xfId="0" applyFont="1" applyBorder="1"/>
    <xf numFmtId="0" fontId="9" fillId="0" borderId="1" xfId="0" applyFont="1" applyBorder="1"/>
    <xf numFmtId="0" fontId="4" fillId="0" borderId="0" xfId="0" applyFont="1" applyAlignment="1">
      <alignment horizontal="left"/>
    </xf>
    <xf numFmtId="0" fontId="4" fillId="0" borderId="0" xfId="0" quotePrefix="1" applyFont="1"/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fgColor theme="7" tint="-0.24994659260841701"/>
          <bgColor theme="7" tint="-0.24994659260841701"/>
        </patternFill>
      </fill>
    </dxf>
    <dxf>
      <font>
        <color theme="0"/>
      </font>
      <fill>
        <patternFill patternType="solid">
          <bgColor rgb="FFFF0000"/>
        </patternFill>
      </fill>
    </dxf>
    <dxf>
      <fill>
        <patternFill>
          <bgColor theme="5"/>
        </patternFill>
      </fill>
    </dxf>
    <dxf>
      <font>
        <color theme="0"/>
      </font>
      <fill>
        <patternFill patternType="solid">
          <bgColor rgb="FFFF0000"/>
        </patternFill>
      </fill>
    </dxf>
    <dxf>
      <fill>
        <patternFill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mbria"/>
        <family val="1"/>
        <charset val="23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mbria"/>
        <family val="1"/>
        <charset val="23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mbria"/>
        <family val="1"/>
        <charset val="23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mbria"/>
        <family val="1"/>
        <charset val="23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mbria"/>
        <family val="1"/>
        <charset val="23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mbria"/>
        <family val="1"/>
        <charset val="23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mbria"/>
        <family val="1"/>
        <charset val="23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mbria"/>
        <family val="1"/>
        <charset val="23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mbria"/>
        <family val="1"/>
        <charset val="23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mbria"/>
        <family val="1"/>
        <charset val="23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mbria"/>
        <family val="1"/>
        <charset val="238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w-KE"/>
              <a:t>TRACEABILITY</a:t>
            </a:r>
            <a:r>
              <a:rPr lang="sw-KE" baseline="0"/>
              <a:t> MATRIX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15-4867-B96A-9BBAAEAEC1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15-4867-B96A-9BBAAEAEC1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B15-4867-B96A-9BBAAEAEC1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B15-4867-B96A-9BBAAEAEC12B}"/>
              </c:ext>
            </c:extLst>
          </c:dPt>
          <c:cat>
            <c:strRef>
              <c:f>DASHBOARD!$A$1:$A$4</c:f>
              <c:strCache>
                <c:ptCount val="4"/>
                <c:pt idx="0">
                  <c:v>Total Test Cases</c:v>
                </c:pt>
                <c:pt idx="1">
                  <c:v>Completed Test Cases</c:v>
                </c:pt>
                <c:pt idx="2">
                  <c:v>Success Rate</c:v>
                </c:pt>
                <c:pt idx="3">
                  <c:v>Critical Defects</c:v>
                </c:pt>
              </c:strCache>
            </c:strRef>
          </c:cat>
          <c:val>
            <c:numRef>
              <c:f>DASHBOARD!$B$1:$B$4</c:f>
              <c:numCache>
                <c:formatCode>General</c:formatCode>
                <c:ptCount val="4"/>
                <c:pt idx="0">
                  <c:v>43</c:v>
                </c:pt>
                <c:pt idx="1">
                  <c:v>39</c:v>
                </c:pt>
                <c:pt idx="2">
                  <c:v>0.90697674418604646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A-4963-8C10-42C5BD4B4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w-KE" sz="1400" b="0" i="0" u="none" strike="noStrike" baseline="0">
                <a:effectLst/>
              </a:rPr>
              <a:t>Risk_Severity </a:t>
            </a:r>
            <a:endParaRPr lang="sw-K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DASHBOARD!$E$2:$E$5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DASHBOARD!$F$2:$F$5</c:f>
              <c:numCache>
                <c:formatCode>General</c:formatCode>
                <c:ptCount val="4"/>
                <c:pt idx="0">
                  <c:v>24</c:v>
                </c:pt>
                <c:pt idx="1">
                  <c:v>26</c:v>
                </c:pt>
                <c:pt idx="2">
                  <c:v>79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5-4EDA-8449-FCD2A4AF6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4</xdr:row>
      <xdr:rowOff>175260</xdr:rowOff>
    </xdr:from>
    <xdr:to>
      <xdr:col>3</xdr:col>
      <xdr:colOff>0</xdr:colOff>
      <xdr:row>18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869609-8F1C-2A4F-449E-63E9FD0315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</xdr:colOff>
      <xdr:row>6</xdr:row>
      <xdr:rowOff>167640</xdr:rowOff>
    </xdr:from>
    <xdr:to>
      <xdr:col>9</xdr:col>
      <xdr:colOff>38100</xdr:colOff>
      <xdr:row>19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31C3F1-6AE8-9090-6C50-A8F956A7BF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D28382-8CFB-4C56-855B-0632798A0601}" name="Table1" displayName="Table1" ref="A1:I108" totalsRowShown="0" headerRowDxfId="21" dataDxfId="19" headerRowBorderDxfId="20" tableBorderDxfId="18" totalsRowBorderDxfId="17">
  <autoFilter ref="A1:I108" xr:uid="{77D28382-8CFB-4C56-855B-0632798A0601}"/>
  <tableColumns count="9">
    <tableColumn id="1" xr3:uid="{F7007122-4073-4AEC-8908-1A59AEC52E4E}" name="Test ID" dataDxfId="16"/>
    <tableColumn id="2" xr3:uid="{18FAA61E-E4A9-4D25-9749-E14CF57FA461}" name="Module" dataDxfId="15"/>
    <tableColumn id="3" xr3:uid="{4FE6F354-D4A2-4558-BB98-A77712FD8D4E}" name="Test Case" dataDxfId="14"/>
    <tableColumn id="4" xr3:uid="{B3A9FD7D-4F24-4A09-931E-F4A8AB3A320B}" name="Preconditions" dataDxfId="13"/>
    <tableColumn id="5" xr3:uid="{89ED8FEB-8AA6-47CA-B55B-666A47830E18}" name="Test Steps" dataDxfId="12"/>
    <tableColumn id="6" xr3:uid="{90BBD807-C9E0-4BE8-939F-680FBD5F1869}" name="Expected Result" dataDxfId="11"/>
    <tableColumn id="7" xr3:uid="{622D9F78-858D-4008-BA80-5944603BEB4B}" name="Priority" dataDxfId="10"/>
    <tableColumn id="8" xr3:uid="{FC9E0485-09CA-43E7-AD6D-9C941EBD31EB}" name="Status" dataDxfId="9"/>
    <tableColumn id="10" xr3:uid="{7CDCF319-183F-496B-9302-55A407801AE5}" name="Defect ID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7BDD-3E6E-42D8-9C15-BF2964EB7820}">
  <dimension ref="A1:F6"/>
  <sheetViews>
    <sheetView tabSelected="1" workbookViewId="0">
      <selection activeCell="K14" sqref="K14"/>
    </sheetView>
  </sheetViews>
  <sheetFormatPr defaultRowHeight="14.4" x14ac:dyDescent="0.3"/>
  <cols>
    <col min="1" max="1" width="19.109375" bestFit="1" customWidth="1"/>
    <col min="2" max="2" width="9.44140625" bestFit="1" customWidth="1"/>
  </cols>
  <sheetData>
    <row r="1" spans="1:6" x14ac:dyDescent="0.3">
      <c r="A1" s="1" t="s">
        <v>377</v>
      </c>
      <c r="B1" s="1">
        <f>COUNTA(TEST_CASES!A:A)-1</f>
        <v>43</v>
      </c>
      <c r="E1" s="11" t="s">
        <v>1175</v>
      </c>
      <c r="F1" s="12"/>
    </row>
    <row r="2" spans="1:6" x14ac:dyDescent="0.3">
      <c r="A2" s="1" t="s">
        <v>378</v>
      </c>
      <c r="B2" s="1">
        <f>COUNTIF(TEST_CASES!H:H,"Done")</f>
        <v>39</v>
      </c>
      <c r="E2" s="1" t="s">
        <v>214</v>
      </c>
      <c r="F2" s="1">
        <f>COUNTIF(RISK_ANALYSIS!F:F,"Critical")</f>
        <v>24</v>
      </c>
    </row>
    <row r="3" spans="1:6" x14ac:dyDescent="0.3">
      <c r="A3" s="1" t="s">
        <v>363</v>
      </c>
      <c r="B3" s="1">
        <f>IF(B1&gt;0,B2/B1,0)</f>
        <v>0.90697674418604646</v>
      </c>
      <c r="E3" s="1" t="s">
        <v>14</v>
      </c>
      <c r="F3" s="1">
        <f>COUNTIF(RISK_ANALYSIS!F:F,"High")</f>
        <v>26</v>
      </c>
    </row>
    <row r="4" spans="1:6" x14ac:dyDescent="0.3">
      <c r="A4" s="1" t="s">
        <v>362</v>
      </c>
      <c r="B4" s="1">
        <f>COUNTIF(DEFECTS_LOG!H:H,"Critical")</f>
        <v>24</v>
      </c>
      <c r="E4" s="1" t="s">
        <v>35</v>
      </c>
      <c r="F4" s="1">
        <f>COUNTIF(RISK_ANALYSIS!F:F,"Medium")</f>
        <v>79</v>
      </c>
    </row>
    <row r="5" spans="1:6" x14ac:dyDescent="0.3">
      <c r="E5" s="1" t="s">
        <v>117</v>
      </c>
      <c r="F5" s="1">
        <f>COUNTIF(RISK_ANALYSIS!F:F,"Low")</f>
        <v>1</v>
      </c>
    </row>
    <row r="6" spans="1:6" x14ac:dyDescent="0.3">
      <c r="E6" s="1" t="s">
        <v>1176</v>
      </c>
      <c r="F6" s="1">
        <f>SUM(F2:F5)</f>
        <v>130</v>
      </c>
    </row>
  </sheetData>
  <mergeCells count="1">
    <mergeCell ref="E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A5396-B258-4FCC-8E78-5D3A4674FB35}">
  <dimension ref="A1:I108"/>
  <sheetViews>
    <sheetView workbookViewId="0">
      <pane ySplit="1" topLeftCell="A22" activePane="bottomLeft" state="frozen"/>
      <selection pane="bottomLeft" activeCell="E27" sqref="E27"/>
    </sheetView>
  </sheetViews>
  <sheetFormatPr defaultColWidth="8.88671875" defaultRowHeight="14.4" x14ac:dyDescent="0.3"/>
  <cols>
    <col min="1" max="2" width="15.6640625" customWidth="1"/>
    <col min="3" max="3" width="25.6640625" customWidth="1"/>
    <col min="4" max="4" width="20.6640625" customWidth="1"/>
    <col min="5" max="5" width="30.6640625" customWidth="1"/>
    <col min="6" max="6" width="25.6640625" customWidth="1"/>
    <col min="7" max="9" width="15.6640625" customWidth="1"/>
  </cols>
  <sheetData>
    <row r="1" spans="1:9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48</v>
      </c>
    </row>
    <row r="2" spans="1:9" ht="20.399999999999999" customHeight="1" x14ac:dyDescent="0.3">
      <c r="A2" s="4" t="s">
        <v>9</v>
      </c>
      <c r="B2" s="4" t="s">
        <v>49</v>
      </c>
      <c r="C2" s="4" t="s">
        <v>10</v>
      </c>
      <c r="D2" s="4" t="s">
        <v>11</v>
      </c>
      <c r="E2" s="4" t="s">
        <v>12</v>
      </c>
      <c r="F2" s="4" t="s">
        <v>52</v>
      </c>
      <c r="G2" s="4" t="s">
        <v>14</v>
      </c>
      <c r="H2" s="4" t="s">
        <v>235</v>
      </c>
      <c r="I2" s="4" t="s">
        <v>240</v>
      </c>
    </row>
    <row r="3" spans="1:9" ht="22.8" x14ac:dyDescent="0.3">
      <c r="A3" s="4"/>
      <c r="B3" s="4"/>
      <c r="C3" s="4"/>
      <c r="D3" s="4"/>
      <c r="E3" s="4" t="s">
        <v>50</v>
      </c>
      <c r="F3" s="4"/>
      <c r="G3" s="4"/>
      <c r="H3" s="4"/>
      <c r="I3" s="4"/>
    </row>
    <row r="4" spans="1:9" x14ac:dyDescent="0.3">
      <c r="A4" s="4"/>
      <c r="B4" s="4"/>
      <c r="C4" s="4"/>
      <c r="D4" s="4"/>
      <c r="E4" s="4" t="s">
        <v>51</v>
      </c>
      <c r="F4" s="4"/>
      <c r="G4" s="4"/>
      <c r="H4" s="4"/>
      <c r="I4" s="4"/>
    </row>
    <row r="5" spans="1:9" ht="52.95" customHeight="1" x14ac:dyDescent="0.3">
      <c r="A5" s="4" t="s">
        <v>15</v>
      </c>
      <c r="B5" s="4" t="s">
        <v>49</v>
      </c>
      <c r="C5" s="4" t="s">
        <v>16</v>
      </c>
      <c r="D5" s="4" t="s">
        <v>11</v>
      </c>
      <c r="E5" s="4" t="s">
        <v>17</v>
      </c>
      <c r="F5" s="4" t="s">
        <v>19</v>
      </c>
      <c r="G5" s="4" t="s">
        <v>14</v>
      </c>
      <c r="H5" s="4" t="s">
        <v>235</v>
      </c>
      <c r="I5" s="4" t="s">
        <v>241</v>
      </c>
    </row>
    <row r="6" spans="1:9" x14ac:dyDescent="0.3">
      <c r="A6" s="4"/>
      <c r="B6" s="4"/>
      <c r="C6" s="4"/>
      <c r="D6" s="4"/>
      <c r="E6" s="4" t="s">
        <v>53</v>
      </c>
      <c r="F6" s="4"/>
      <c r="G6" s="4"/>
      <c r="H6" s="4"/>
      <c r="I6" s="4"/>
    </row>
    <row r="7" spans="1:9" x14ac:dyDescent="0.3">
      <c r="A7" s="4"/>
      <c r="B7" s="4"/>
      <c r="C7" s="4"/>
      <c r="D7" s="4"/>
      <c r="E7" s="4" t="s">
        <v>13</v>
      </c>
      <c r="F7" s="4"/>
      <c r="G7" s="4"/>
      <c r="H7" s="4"/>
      <c r="I7" s="4"/>
    </row>
    <row r="8" spans="1:9" ht="52.95" customHeight="1" x14ac:dyDescent="0.3">
      <c r="A8" s="4" t="s">
        <v>20</v>
      </c>
      <c r="B8" s="4" t="s">
        <v>49</v>
      </c>
      <c r="C8" s="4" t="s">
        <v>21</v>
      </c>
      <c r="D8" s="4" t="s">
        <v>11</v>
      </c>
      <c r="E8" s="4" t="s">
        <v>17</v>
      </c>
      <c r="F8" s="4" t="s">
        <v>23</v>
      </c>
      <c r="G8" s="4" t="s">
        <v>14</v>
      </c>
      <c r="H8" s="4" t="s">
        <v>235</v>
      </c>
      <c r="I8" s="4" t="s">
        <v>242</v>
      </c>
    </row>
    <row r="9" spans="1:9" x14ac:dyDescent="0.3">
      <c r="A9" s="4"/>
      <c r="B9" s="4"/>
      <c r="C9" s="4"/>
      <c r="D9" s="4"/>
      <c r="E9" s="4" t="s">
        <v>22</v>
      </c>
      <c r="F9" s="4"/>
      <c r="G9" s="4"/>
      <c r="H9" s="4"/>
      <c r="I9" s="4"/>
    </row>
    <row r="10" spans="1:9" x14ac:dyDescent="0.3">
      <c r="A10" s="4"/>
      <c r="B10" s="4"/>
      <c r="C10" s="4"/>
      <c r="D10" s="4"/>
      <c r="E10" s="4" t="s">
        <v>13</v>
      </c>
      <c r="F10" s="4"/>
      <c r="G10" s="4"/>
      <c r="H10" s="4"/>
      <c r="I10" s="4"/>
    </row>
    <row r="11" spans="1:9" ht="39.6" customHeight="1" x14ac:dyDescent="0.3">
      <c r="A11" s="4" t="s">
        <v>24</v>
      </c>
      <c r="B11" s="4" t="s">
        <v>49</v>
      </c>
      <c r="C11" s="4" t="s">
        <v>25</v>
      </c>
      <c r="D11" s="4" t="s">
        <v>26</v>
      </c>
      <c r="E11" s="4" t="s">
        <v>27</v>
      </c>
      <c r="F11" s="4" t="s">
        <v>55</v>
      </c>
      <c r="G11" s="4" t="s">
        <v>14</v>
      </c>
      <c r="H11" s="4" t="s">
        <v>235</v>
      </c>
      <c r="I11" s="4" t="s">
        <v>243</v>
      </c>
    </row>
    <row r="12" spans="1:9" ht="22.8" x14ac:dyDescent="0.3">
      <c r="A12" s="4"/>
      <c r="B12" s="4"/>
      <c r="C12" s="4"/>
      <c r="D12" s="4"/>
      <c r="E12" s="4" t="s">
        <v>54</v>
      </c>
      <c r="F12" s="4"/>
      <c r="G12" s="4"/>
      <c r="H12" s="4"/>
      <c r="I12" s="4"/>
    </row>
    <row r="13" spans="1:9" x14ac:dyDescent="0.3">
      <c r="A13" s="4"/>
      <c r="B13" s="4"/>
      <c r="C13" s="4"/>
      <c r="D13" s="4"/>
      <c r="E13" s="4" t="s">
        <v>18</v>
      </c>
      <c r="F13" s="4"/>
      <c r="G13" s="4"/>
      <c r="H13" s="4"/>
      <c r="I13" s="4"/>
    </row>
    <row r="14" spans="1:9" ht="39.6" customHeight="1" x14ac:dyDescent="0.3">
      <c r="A14" s="4" t="s">
        <v>28</v>
      </c>
      <c r="B14" s="4" t="s">
        <v>49</v>
      </c>
      <c r="C14" s="4" t="s">
        <v>29</v>
      </c>
      <c r="D14" s="4" t="s">
        <v>11</v>
      </c>
      <c r="E14" s="4" t="s">
        <v>27</v>
      </c>
      <c r="F14" s="4" t="s">
        <v>57</v>
      </c>
      <c r="G14" s="4" t="s">
        <v>14</v>
      </c>
      <c r="H14" s="4" t="s">
        <v>235</v>
      </c>
      <c r="I14" s="4" t="s">
        <v>244</v>
      </c>
    </row>
    <row r="15" spans="1:9" x14ac:dyDescent="0.3">
      <c r="A15" s="4"/>
      <c r="B15" s="4"/>
      <c r="C15" s="4"/>
      <c r="D15" s="4"/>
      <c r="E15" s="4" t="s">
        <v>56</v>
      </c>
      <c r="F15" s="4"/>
      <c r="G15" s="4"/>
      <c r="H15" s="4"/>
      <c r="I15" s="4"/>
    </row>
    <row r="16" spans="1:9" x14ac:dyDescent="0.3">
      <c r="A16" s="4"/>
      <c r="B16" s="4"/>
      <c r="C16" s="4"/>
      <c r="D16" s="4"/>
      <c r="E16" s="4" t="s">
        <v>18</v>
      </c>
      <c r="F16" s="4"/>
      <c r="G16" s="4"/>
      <c r="H16" s="4"/>
      <c r="I16" s="4"/>
    </row>
    <row r="17" spans="1:9" ht="39.6" customHeight="1" x14ac:dyDescent="0.3">
      <c r="A17" s="4" t="s">
        <v>30</v>
      </c>
      <c r="B17" s="4" t="s">
        <v>49</v>
      </c>
      <c r="C17" s="4" t="s">
        <v>58</v>
      </c>
      <c r="D17" s="4" t="s">
        <v>59</v>
      </c>
      <c r="E17" s="4" t="s">
        <v>27</v>
      </c>
      <c r="F17" s="4" t="s">
        <v>61</v>
      </c>
      <c r="G17" s="4" t="s">
        <v>14</v>
      </c>
      <c r="H17" s="4" t="s">
        <v>235</v>
      </c>
      <c r="I17" s="4" t="s">
        <v>245</v>
      </c>
    </row>
    <row r="18" spans="1:9" x14ac:dyDescent="0.3">
      <c r="A18" s="4"/>
      <c r="B18" s="4"/>
      <c r="C18" s="4"/>
      <c r="D18" s="4"/>
      <c r="E18" s="4" t="s">
        <v>60</v>
      </c>
      <c r="F18" s="4"/>
      <c r="G18" s="4"/>
      <c r="H18" s="4"/>
      <c r="I18" s="4"/>
    </row>
    <row r="19" spans="1:9" x14ac:dyDescent="0.3">
      <c r="A19" s="4"/>
      <c r="B19" s="4"/>
      <c r="C19" s="4"/>
      <c r="D19" s="4"/>
      <c r="E19" s="4" t="s">
        <v>18</v>
      </c>
      <c r="F19" s="4"/>
      <c r="G19" s="4"/>
      <c r="H19" s="4"/>
      <c r="I19" s="4"/>
    </row>
    <row r="20" spans="1:9" ht="22.8" x14ac:dyDescent="0.3">
      <c r="A20" s="4" t="s">
        <v>31</v>
      </c>
      <c r="B20" s="4" t="s">
        <v>49</v>
      </c>
      <c r="C20" s="4" t="s">
        <v>32</v>
      </c>
      <c r="D20" s="4" t="s">
        <v>33</v>
      </c>
      <c r="E20" s="4" t="s">
        <v>34</v>
      </c>
      <c r="F20" s="4" t="s">
        <v>62</v>
      </c>
      <c r="G20" s="4" t="s">
        <v>35</v>
      </c>
      <c r="H20" s="4" t="s">
        <v>235</v>
      </c>
      <c r="I20" s="4" t="s">
        <v>246</v>
      </c>
    </row>
    <row r="21" spans="1:9" ht="39.6" customHeight="1" x14ac:dyDescent="0.3">
      <c r="A21" s="4" t="s">
        <v>36</v>
      </c>
      <c r="B21" s="4" t="s">
        <v>49</v>
      </c>
      <c r="C21" s="4" t="s">
        <v>63</v>
      </c>
      <c r="D21" s="4" t="s">
        <v>33</v>
      </c>
      <c r="E21" s="4" t="s">
        <v>45</v>
      </c>
      <c r="F21" s="4" t="s">
        <v>64</v>
      </c>
      <c r="G21" s="4" t="s">
        <v>35</v>
      </c>
      <c r="H21" s="4" t="s">
        <v>235</v>
      </c>
      <c r="I21" s="4" t="s">
        <v>247</v>
      </c>
    </row>
    <row r="22" spans="1:9" x14ac:dyDescent="0.3">
      <c r="A22" s="4"/>
      <c r="B22" s="4"/>
      <c r="C22" s="4"/>
      <c r="D22" s="4"/>
      <c r="E22" s="4" t="s">
        <v>46</v>
      </c>
      <c r="F22" s="4"/>
      <c r="G22" s="4"/>
      <c r="H22" s="4"/>
      <c r="I22" s="4"/>
    </row>
    <row r="23" spans="1:9" x14ac:dyDescent="0.3">
      <c r="A23" s="4"/>
      <c r="B23" s="4"/>
      <c r="C23" s="4"/>
      <c r="D23" s="4"/>
      <c r="E23" s="4" t="s">
        <v>47</v>
      </c>
      <c r="F23" s="4"/>
      <c r="G23" s="4"/>
      <c r="H23" s="4"/>
      <c r="I23" s="4"/>
    </row>
    <row r="24" spans="1:9" ht="52.95" customHeight="1" x14ac:dyDescent="0.3">
      <c r="A24" s="4" t="s">
        <v>41</v>
      </c>
      <c r="B24" s="4" t="s">
        <v>49</v>
      </c>
      <c r="C24" s="4" t="s">
        <v>65</v>
      </c>
      <c r="D24" s="4" t="s">
        <v>42</v>
      </c>
      <c r="E24" s="4" t="s">
        <v>43</v>
      </c>
      <c r="F24" s="4" t="s">
        <v>66</v>
      </c>
      <c r="G24" s="4" t="s">
        <v>14</v>
      </c>
      <c r="H24" s="4" t="s">
        <v>235</v>
      </c>
      <c r="I24" s="4" t="s">
        <v>248</v>
      </c>
    </row>
    <row r="25" spans="1:9" x14ac:dyDescent="0.3">
      <c r="A25" s="4"/>
      <c r="B25" s="4"/>
      <c r="C25" s="4"/>
      <c r="D25" s="4"/>
      <c r="E25" s="4" t="s">
        <v>40</v>
      </c>
      <c r="F25" s="4"/>
      <c r="G25" s="4"/>
      <c r="H25" s="4"/>
      <c r="I25" s="4"/>
    </row>
    <row r="26" spans="1:9" x14ac:dyDescent="0.3">
      <c r="A26" s="4" t="s">
        <v>44</v>
      </c>
      <c r="B26" s="4" t="s">
        <v>49</v>
      </c>
      <c r="C26" s="4" t="s">
        <v>67</v>
      </c>
      <c r="D26" s="4" t="s">
        <v>68</v>
      </c>
      <c r="E26" s="4" t="s">
        <v>69</v>
      </c>
      <c r="F26" s="4" t="s">
        <v>71</v>
      </c>
      <c r="G26" s="4" t="s">
        <v>14</v>
      </c>
      <c r="H26" s="4" t="s">
        <v>235</v>
      </c>
      <c r="I26" s="4" t="s">
        <v>249</v>
      </c>
    </row>
    <row r="27" spans="1:9" x14ac:dyDescent="0.3">
      <c r="A27" s="4"/>
      <c r="B27" s="4"/>
      <c r="C27" s="4"/>
      <c r="D27" s="4"/>
      <c r="E27" s="4" t="s">
        <v>70</v>
      </c>
      <c r="F27" s="4"/>
      <c r="G27" s="4"/>
      <c r="H27" s="4"/>
      <c r="I27" s="4"/>
    </row>
    <row r="28" spans="1:9" ht="22.8" x14ac:dyDescent="0.3">
      <c r="A28" s="7" t="s">
        <v>1117</v>
      </c>
      <c r="B28" s="7" t="s">
        <v>49</v>
      </c>
      <c r="C28" s="7" t="s">
        <v>1118</v>
      </c>
      <c r="D28" s="7" t="s">
        <v>33</v>
      </c>
      <c r="E28" s="7" t="s">
        <v>1119</v>
      </c>
      <c r="F28" s="7" t="s">
        <v>1120</v>
      </c>
      <c r="G28" s="7" t="s">
        <v>14</v>
      </c>
      <c r="H28" s="7" t="s">
        <v>1121</v>
      </c>
      <c r="I28" s="7" t="s">
        <v>1122</v>
      </c>
    </row>
    <row r="29" spans="1:9" x14ac:dyDescent="0.3">
      <c r="A29" s="4"/>
      <c r="B29" s="4"/>
      <c r="C29" s="4"/>
      <c r="D29" s="4"/>
      <c r="E29" s="4" t="s">
        <v>1123</v>
      </c>
      <c r="F29" s="4"/>
      <c r="G29" s="4"/>
      <c r="H29" s="4"/>
      <c r="I29" s="4"/>
    </row>
    <row r="30" spans="1:9" ht="22.8" x14ac:dyDescent="0.3">
      <c r="A30" s="4" t="s">
        <v>72</v>
      </c>
      <c r="B30" s="4" t="s">
        <v>73</v>
      </c>
      <c r="C30" s="4" t="s">
        <v>74</v>
      </c>
      <c r="D30" s="4" t="s">
        <v>33</v>
      </c>
      <c r="E30" s="4" t="s">
        <v>75</v>
      </c>
      <c r="F30" s="4" t="s">
        <v>77</v>
      </c>
      <c r="G30" s="4" t="s">
        <v>14</v>
      </c>
      <c r="H30" s="4" t="s">
        <v>235</v>
      </c>
      <c r="I30" s="4" t="s">
        <v>250</v>
      </c>
    </row>
    <row r="31" spans="1:9" x14ac:dyDescent="0.3">
      <c r="A31" s="4"/>
      <c r="B31" s="4"/>
      <c r="C31" s="4"/>
      <c r="D31" s="4"/>
      <c r="E31" s="4" t="s">
        <v>76</v>
      </c>
      <c r="F31" s="4"/>
      <c r="G31" s="4"/>
      <c r="H31" s="4"/>
      <c r="I31" s="4"/>
    </row>
    <row r="32" spans="1:9" x14ac:dyDescent="0.3">
      <c r="A32" s="4"/>
      <c r="B32" s="4"/>
      <c r="C32" s="4"/>
      <c r="D32" s="4"/>
      <c r="E32" s="4" t="s">
        <v>18</v>
      </c>
      <c r="F32" s="4"/>
      <c r="G32" s="4"/>
      <c r="H32" s="4"/>
      <c r="I32" s="4"/>
    </row>
    <row r="33" spans="1:9" ht="39.6" customHeight="1" x14ac:dyDescent="0.3">
      <c r="A33" s="4" t="s">
        <v>78</v>
      </c>
      <c r="B33" s="4" t="s">
        <v>73</v>
      </c>
      <c r="C33" s="4" t="s">
        <v>79</v>
      </c>
      <c r="D33" s="4" t="s">
        <v>33</v>
      </c>
      <c r="E33" s="4" t="s">
        <v>75</v>
      </c>
      <c r="F33" s="4" t="s">
        <v>81</v>
      </c>
      <c r="G33" s="4" t="s">
        <v>14</v>
      </c>
      <c r="H33" s="4" t="s">
        <v>235</v>
      </c>
      <c r="I33" s="4" t="s">
        <v>251</v>
      </c>
    </row>
    <row r="34" spans="1:9" x14ac:dyDescent="0.3">
      <c r="A34" s="4"/>
      <c r="B34" s="4"/>
      <c r="C34" s="4"/>
      <c r="D34" s="4"/>
      <c r="E34" s="4" t="s">
        <v>80</v>
      </c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 t="s">
        <v>18</v>
      </c>
      <c r="F35" s="4"/>
      <c r="G35" s="4"/>
      <c r="H35" s="4"/>
      <c r="I35" s="4"/>
    </row>
    <row r="36" spans="1:9" ht="39.6" customHeight="1" x14ac:dyDescent="0.3">
      <c r="A36" s="4" t="s">
        <v>82</v>
      </c>
      <c r="B36" s="4" t="s">
        <v>73</v>
      </c>
      <c r="C36" s="4" t="s">
        <v>83</v>
      </c>
      <c r="D36" s="4" t="s">
        <v>33</v>
      </c>
      <c r="E36" s="4" t="s">
        <v>75</v>
      </c>
      <c r="F36" s="4" t="s">
        <v>85</v>
      </c>
      <c r="G36" s="4" t="s">
        <v>14</v>
      </c>
      <c r="H36" s="4" t="s">
        <v>235</v>
      </c>
      <c r="I36" s="4" t="s">
        <v>252</v>
      </c>
    </row>
    <row r="37" spans="1:9" x14ac:dyDescent="0.3">
      <c r="A37" s="4"/>
      <c r="B37" s="4"/>
      <c r="C37" s="4"/>
      <c r="D37" s="4"/>
      <c r="E37" s="4" t="s">
        <v>84</v>
      </c>
      <c r="F37" s="4"/>
      <c r="G37" s="4"/>
      <c r="H37" s="4"/>
      <c r="I37" s="4"/>
    </row>
    <row r="38" spans="1:9" x14ac:dyDescent="0.3">
      <c r="A38" s="4"/>
      <c r="B38" s="4"/>
      <c r="C38" s="4"/>
      <c r="D38" s="4"/>
      <c r="E38" s="4" t="s">
        <v>18</v>
      </c>
      <c r="F38" s="4"/>
      <c r="G38" s="4"/>
      <c r="H38" s="4"/>
      <c r="I38" s="4"/>
    </row>
    <row r="39" spans="1:9" ht="39.6" customHeight="1" x14ac:dyDescent="0.3">
      <c r="A39" s="4" t="s">
        <v>86</v>
      </c>
      <c r="B39" s="4" t="s">
        <v>73</v>
      </c>
      <c r="C39" s="4" t="s">
        <v>87</v>
      </c>
      <c r="D39" s="4" t="s">
        <v>33</v>
      </c>
      <c r="E39" s="4" t="s">
        <v>75</v>
      </c>
      <c r="F39" s="4" t="s">
        <v>89</v>
      </c>
      <c r="G39" s="4" t="s">
        <v>14</v>
      </c>
      <c r="H39" s="4" t="s">
        <v>235</v>
      </c>
      <c r="I39" s="4" t="s">
        <v>253</v>
      </c>
    </row>
    <row r="40" spans="1:9" x14ac:dyDescent="0.3">
      <c r="A40" s="4"/>
      <c r="B40" s="4"/>
      <c r="C40" s="4"/>
      <c r="D40" s="4"/>
      <c r="E40" s="4" t="s">
        <v>88</v>
      </c>
      <c r="F40" s="4"/>
      <c r="G40" s="4"/>
      <c r="H40" s="4"/>
      <c r="I40" s="4"/>
    </row>
    <row r="41" spans="1:9" x14ac:dyDescent="0.3">
      <c r="A41" s="4"/>
      <c r="B41" s="4"/>
      <c r="C41" s="4"/>
      <c r="D41" s="4"/>
      <c r="E41" s="4" t="s">
        <v>18</v>
      </c>
      <c r="F41" s="4"/>
      <c r="G41" s="4"/>
      <c r="H41" s="4"/>
      <c r="I41" s="4"/>
    </row>
    <row r="42" spans="1:9" ht="39.6" customHeight="1" x14ac:dyDescent="0.3">
      <c r="A42" s="4" t="s">
        <v>90</v>
      </c>
      <c r="B42" s="4" t="s">
        <v>73</v>
      </c>
      <c r="C42" s="4" t="s">
        <v>91</v>
      </c>
      <c r="D42" s="4" t="s">
        <v>33</v>
      </c>
      <c r="E42" s="4" t="s">
        <v>75</v>
      </c>
      <c r="F42" s="4" t="s">
        <v>93</v>
      </c>
      <c r="G42" s="4" t="s">
        <v>35</v>
      </c>
      <c r="H42" s="4" t="s">
        <v>235</v>
      </c>
      <c r="I42" s="4" t="s">
        <v>254</v>
      </c>
    </row>
    <row r="43" spans="1:9" x14ac:dyDescent="0.3">
      <c r="A43" s="4"/>
      <c r="B43" s="4"/>
      <c r="C43" s="4"/>
      <c r="D43" s="4"/>
      <c r="E43" s="4" t="s">
        <v>92</v>
      </c>
      <c r="F43" s="4"/>
      <c r="G43" s="4"/>
      <c r="H43" s="4"/>
      <c r="I43" s="4"/>
    </row>
    <row r="44" spans="1:9" x14ac:dyDescent="0.3">
      <c r="A44" s="4"/>
      <c r="B44" s="4"/>
      <c r="C44" s="4"/>
      <c r="D44" s="4"/>
      <c r="E44" s="4" t="s">
        <v>18</v>
      </c>
      <c r="F44" s="4"/>
      <c r="G44" s="4"/>
      <c r="H44" s="4"/>
      <c r="I44" s="4"/>
    </row>
    <row r="45" spans="1:9" ht="52.8" customHeight="1" x14ac:dyDescent="0.3">
      <c r="A45" s="7" t="s">
        <v>94</v>
      </c>
      <c r="B45" s="7" t="s">
        <v>73</v>
      </c>
      <c r="C45" s="7" t="s">
        <v>1124</v>
      </c>
      <c r="D45" s="7" t="s">
        <v>33</v>
      </c>
      <c r="E45" s="7" t="s">
        <v>1125</v>
      </c>
      <c r="F45" s="7" t="s">
        <v>1126</v>
      </c>
      <c r="G45" s="7" t="s">
        <v>14</v>
      </c>
      <c r="H45" s="7" t="s">
        <v>1121</v>
      </c>
      <c r="I45" s="7" t="s">
        <v>255</v>
      </c>
    </row>
    <row r="46" spans="1:9" ht="13.2" customHeight="1" x14ac:dyDescent="0.3">
      <c r="A46" s="4"/>
      <c r="B46" s="4"/>
      <c r="C46" s="4"/>
      <c r="D46" s="4"/>
      <c r="E46" s="4" t="s">
        <v>1127</v>
      </c>
      <c r="F46" s="4"/>
      <c r="G46" s="4"/>
      <c r="H46" s="4"/>
      <c r="I46" s="4"/>
    </row>
    <row r="47" spans="1:9" ht="31.8" customHeight="1" x14ac:dyDescent="0.3">
      <c r="A47" s="4"/>
      <c r="B47" s="4"/>
      <c r="C47" s="4"/>
      <c r="D47" s="4"/>
      <c r="E47" s="4" t="s">
        <v>1128</v>
      </c>
      <c r="F47" s="4"/>
      <c r="G47" s="4"/>
      <c r="H47" s="4"/>
      <c r="I47" s="4"/>
    </row>
    <row r="48" spans="1:9" ht="66" customHeight="1" x14ac:dyDescent="0.3">
      <c r="A48" s="4" t="s">
        <v>101</v>
      </c>
      <c r="B48" s="4" t="s">
        <v>95</v>
      </c>
      <c r="C48" s="4" t="s">
        <v>96</v>
      </c>
      <c r="D48" s="4" t="s">
        <v>97</v>
      </c>
      <c r="E48" s="4" t="s">
        <v>98</v>
      </c>
      <c r="F48" s="4" t="s">
        <v>100</v>
      </c>
      <c r="G48" s="4" t="s">
        <v>35</v>
      </c>
      <c r="H48" s="4" t="s">
        <v>235</v>
      </c>
      <c r="I48" s="4" t="s">
        <v>255</v>
      </c>
    </row>
    <row r="49" spans="1:9" x14ac:dyDescent="0.3">
      <c r="A49" s="4"/>
      <c r="B49" s="4"/>
      <c r="C49" s="4"/>
      <c r="D49" s="4"/>
      <c r="E49" s="4" t="s">
        <v>99</v>
      </c>
      <c r="F49" s="4"/>
      <c r="G49" s="4"/>
      <c r="H49" s="4"/>
      <c r="I49" s="4"/>
    </row>
    <row r="50" spans="1:9" ht="39.6" customHeight="1" x14ac:dyDescent="0.3">
      <c r="A50" s="4" t="s">
        <v>108</v>
      </c>
      <c r="B50" s="4" t="s">
        <v>95</v>
      </c>
      <c r="C50" s="4" t="s">
        <v>102</v>
      </c>
      <c r="D50" s="4" t="s">
        <v>103</v>
      </c>
      <c r="E50" s="4" t="s">
        <v>104</v>
      </c>
      <c r="F50" s="4" t="s">
        <v>107</v>
      </c>
      <c r="G50" s="4" t="s">
        <v>35</v>
      </c>
      <c r="H50" s="4" t="s">
        <v>235</v>
      </c>
      <c r="I50" s="4" t="s">
        <v>256</v>
      </c>
    </row>
    <row r="51" spans="1:9" x14ac:dyDescent="0.3">
      <c r="A51" s="4"/>
      <c r="B51" s="4"/>
      <c r="C51" s="4"/>
      <c r="D51" s="4"/>
      <c r="E51" s="4" t="s">
        <v>105</v>
      </c>
      <c r="F51" s="4"/>
      <c r="G51" s="4"/>
      <c r="H51" s="4"/>
      <c r="I51" s="4"/>
    </row>
    <row r="52" spans="1:9" x14ac:dyDescent="0.3">
      <c r="A52" s="4"/>
      <c r="B52" s="4"/>
      <c r="C52" s="4"/>
      <c r="D52" s="4"/>
      <c r="E52" s="4" t="s">
        <v>106</v>
      </c>
      <c r="F52" s="4"/>
      <c r="G52" s="4"/>
      <c r="H52" s="4"/>
      <c r="I52" s="4"/>
    </row>
    <row r="53" spans="1:9" ht="39.6" customHeight="1" x14ac:dyDescent="0.3">
      <c r="A53" s="4" t="s">
        <v>112</v>
      </c>
      <c r="B53" s="4" t="s">
        <v>95</v>
      </c>
      <c r="C53" s="4" t="s">
        <v>109</v>
      </c>
      <c r="D53" s="4" t="s">
        <v>103</v>
      </c>
      <c r="E53" s="4" t="s">
        <v>104</v>
      </c>
      <c r="F53" s="4" t="s">
        <v>111</v>
      </c>
      <c r="G53" s="4" t="s">
        <v>35</v>
      </c>
      <c r="H53" s="4" t="s">
        <v>235</v>
      </c>
      <c r="I53" s="4" t="s">
        <v>257</v>
      </c>
    </row>
    <row r="54" spans="1:9" x14ac:dyDescent="0.3">
      <c r="A54" s="4"/>
      <c r="B54" s="4"/>
      <c r="C54" s="4"/>
      <c r="D54" s="4"/>
      <c r="E54" s="4" t="s">
        <v>110</v>
      </c>
      <c r="F54" s="4"/>
      <c r="G54" s="4"/>
      <c r="H54" s="4"/>
      <c r="I54" s="4"/>
    </row>
    <row r="55" spans="1:9" x14ac:dyDescent="0.3">
      <c r="A55" s="4"/>
      <c r="B55" s="4"/>
      <c r="C55" s="4"/>
      <c r="D55" s="4"/>
      <c r="E55" s="4" t="s">
        <v>106</v>
      </c>
      <c r="F55" s="4"/>
      <c r="G55" s="4"/>
      <c r="H55" s="4"/>
      <c r="I55" s="4"/>
    </row>
    <row r="56" spans="1:9" ht="26.4" customHeight="1" x14ac:dyDescent="0.3">
      <c r="A56" s="4" t="s">
        <v>118</v>
      </c>
      <c r="B56" s="4" t="s">
        <v>95</v>
      </c>
      <c r="C56" s="4" t="s">
        <v>113</v>
      </c>
      <c r="D56" s="4" t="s">
        <v>103</v>
      </c>
      <c r="E56" s="4" t="s">
        <v>114</v>
      </c>
      <c r="F56" s="4" t="s">
        <v>116</v>
      </c>
      <c r="G56" s="4" t="s">
        <v>117</v>
      </c>
      <c r="H56" s="4" t="s">
        <v>235</v>
      </c>
      <c r="I56" s="4" t="s">
        <v>258</v>
      </c>
    </row>
    <row r="57" spans="1:9" x14ac:dyDescent="0.3">
      <c r="A57" s="4"/>
      <c r="B57" s="4"/>
      <c r="C57" s="4"/>
      <c r="D57" s="4"/>
      <c r="E57" s="4" t="s">
        <v>115</v>
      </c>
      <c r="F57" s="4"/>
      <c r="G57" s="4"/>
      <c r="H57" s="4"/>
      <c r="I57" s="4"/>
    </row>
    <row r="58" spans="1:9" ht="39.6" customHeight="1" x14ac:dyDescent="0.3">
      <c r="A58" s="4" t="s">
        <v>1129</v>
      </c>
      <c r="B58" s="4" t="s">
        <v>95</v>
      </c>
      <c r="C58" s="4" t="s">
        <v>119</v>
      </c>
      <c r="D58" s="4" t="s">
        <v>120</v>
      </c>
      <c r="E58" s="4" t="s">
        <v>121</v>
      </c>
      <c r="F58" s="4" t="s">
        <v>124</v>
      </c>
      <c r="G58" s="4" t="s">
        <v>14</v>
      </c>
      <c r="H58" s="4" t="s">
        <v>235</v>
      </c>
      <c r="I58" s="4" t="s">
        <v>259</v>
      </c>
    </row>
    <row r="59" spans="1:9" x14ac:dyDescent="0.3">
      <c r="A59" s="4"/>
      <c r="B59" s="4"/>
      <c r="C59" s="4"/>
      <c r="D59" s="4"/>
      <c r="E59" s="4" t="s">
        <v>122</v>
      </c>
      <c r="F59" s="4"/>
      <c r="G59" s="4"/>
      <c r="H59" s="4"/>
      <c r="I59" s="4"/>
    </row>
    <row r="60" spans="1:9" x14ac:dyDescent="0.3">
      <c r="A60" s="4"/>
      <c r="B60" s="4"/>
      <c r="C60" s="4"/>
      <c r="D60" s="4"/>
      <c r="E60" s="4" t="s">
        <v>123</v>
      </c>
      <c r="F60" s="4"/>
      <c r="G60" s="4"/>
      <c r="H60" s="4"/>
      <c r="I60" s="4"/>
    </row>
    <row r="61" spans="1:9" ht="53.4" customHeight="1" x14ac:dyDescent="0.3">
      <c r="A61" s="7" t="s">
        <v>1130</v>
      </c>
      <c r="B61" s="7" t="s">
        <v>95</v>
      </c>
      <c r="C61" s="7" t="s">
        <v>1131</v>
      </c>
      <c r="D61" s="7" t="s">
        <v>33</v>
      </c>
      <c r="E61" s="7" t="s">
        <v>1132</v>
      </c>
      <c r="F61" s="7" t="s">
        <v>1134</v>
      </c>
      <c r="G61" s="7" t="s">
        <v>35</v>
      </c>
      <c r="H61" s="7" t="s">
        <v>1121</v>
      </c>
      <c r="I61" s="7" t="s">
        <v>1135</v>
      </c>
    </row>
    <row r="62" spans="1:9" x14ac:dyDescent="0.3">
      <c r="A62" s="4"/>
      <c r="B62" s="4"/>
      <c r="C62" s="4"/>
      <c r="D62" s="4"/>
      <c r="E62" s="4" t="s">
        <v>1133</v>
      </c>
      <c r="F62" s="4"/>
      <c r="G62" s="4"/>
      <c r="H62" s="4"/>
      <c r="I62" s="4"/>
    </row>
    <row r="63" spans="1:9" x14ac:dyDescent="0.3">
      <c r="A63" s="4" t="s">
        <v>125</v>
      </c>
      <c r="B63" s="4" t="s">
        <v>126</v>
      </c>
      <c r="C63" s="4" t="s">
        <v>127</v>
      </c>
      <c r="D63" s="4" t="s">
        <v>33</v>
      </c>
      <c r="E63" s="4" t="s">
        <v>128</v>
      </c>
      <c r="F63" s="4" t="s">
        <v>130</v>
      </c>
      <c r="G63" s="4" t="s">
        <v>35</v>
      </c>
      <c r="H63" s="4" t="s">
        <v>235</v>
      </c>
      <c r="I63" s="4" t="s">
        <v>260</v>
      </c>
    </row>
    <row r="64" spans="1:9" x14ac:dyDescent="0.3">
      <c r="A64" s="4"/>
      <c r="B64" s="4"/>
      <c r="C64" s="4"/>
      <c r="D64" s="4"/>
      <c r="E64" s="4" t="s">
        <v>129</v>
      </c>
      <c r="F64" s="4"/>
      <c r="G64" s="4"/>
      <c r="H64" s="4"/>
      <c r="I64" s="4"/>
    </row>
    <row r="65" spans="1:9" x14ac:dyDescent="0.3">
      <c r="A65" s="4"/>
      <c r="B65" s="4"/>
      <c r="C65" s="4"/>
      <c r="D65" s="4"/>
      <c r="E65" s="4" t="s">
        <v>18</v>
      </c>
      <c r="F65" s="4"/>
      <c r="G65" s="4"/>
      <c r="H65" s="4"/>
      <c r="I65" s="4"/>
    </row>
    <row r="66" spans="1:9" x14ac:dyDescent="0.3">
      <c r="A66" s="4" t="s">
        <v>131</v>
      </c>
      <c r="B66" s="4" t="s">
        <v>126</v>
      </c>
      <c r="C66" s="4" t="s">
        <v>132</v>
      </c>
      <c r="D66" s="4" t="s">
        <v>33</v>
      </c>
      <c r="E66" s="4" t="s">
        <v>128</v>
      </c>
      <c r="F66" s="4" t="s">
        <v>134</v>
      </c>
      <c r="G66" s="4" t="s">
        <v>35</v>
      </c>
      <c r="H66" s="4" t="s">
        <v>235</v>
      </c>
      <c r="I66" s="4" t="s">
        <v>261</v>
      </c>
    </row>
    <row r="67" spans="1:9" x14ac:dyDescent="0.3">
      <c r="A67" s="4"/>
      <c r="B67" s="4"/>
      <c r="C67" s="4"/>
      <c r="D67" s="4"/>
      <c r="E67" s="4" t="s">
        <v>133</v>
      </c>
      <c r="F67" s="4"/>
      <c r="G67" s="4"/>
      <c r="H67" s="4"/>
      <c r="I67" s="4"/>
    </row>
    <row r="68" spans="1:9" x14ac:dyDescent="0.3">
      <c r="A68" s="4"/>
      <c r="B68" s="4"/>
      <c r="C68" s="4"/>
      <c r="D68" s="4"/>
      <c r="E68" s="4" t="s">
        <v>18</v>
      </c>
      <c r="F68" s="4"/>
      <c r="G68" s="4"/>
      <c r="H68" s="4"/>
      <c r="I68" s="4"/>
    </row>
    <row r="69" spans="1:9" x14ac:dyDescent="0.3">
      <c r="A69" s="4" t="s">
        <v>135</v>
      </c>
      <c r="B69" s="4" t="s">
        <v>126</v>
      </c>
      <c r="C69" s="4" t="s">
        <v>136</v>
      </c>
      <c r="D69" s="4" t="s">
        <v>33</v>
      </c>
      <c r="E69" s="4" t="s">
        <v>128</v>
      </c>
      <c r="F69" s="4" t="s">
        <v>134</v>
      </c>
      <c r="G69" s="4" t="s">
        <v>35</v>
      </c>
      <c r="H69" s="4" t="s">
        <v>235</v>
      </c>
      <c r="I69" s="4" t="s">
        <v>262</v>
      </c>
    </row>
    <row r="70" spans="1:9" x14ac:dyDescent="0.3">
      <c r="A70" s="4"/>
      <c r="B70" s="4"/>
      <c r="C70" s="4"/>
      <c r="D70" s="4"/>
      <c r="E70" s="4" t="s">
        <v>137</v>
      </c>
      <c r="F70" s="4"/>
      <c r="G70" s="4"/>
      <c r="H70" s="4"/>
      <c r="I70" s="4"/>
    </row>
    <row r="71" spans="1:9" x14ac:dyDescent="0.3">
      <c r="A71" s="4"/>
      <c r="B71" s="4"/>
      <c r="C71" s="4"/>
      <c r="D71" s="4"/>
      <c r="E71" s="4" t="s">
        <v>18</v>
      </c>
      <c r="F71" s="4"/>
      <c r="G71" s="4"/>
      <c r="H71" s="4"/>
      <c r="I71" s="4"/>
    </row>
    <row r="72" spans="1:9" ht="52.95" customHeight="1" x14ac:dyDescent="0.3">
      <c r="A72" s="4" t="s">
        <v>138</v>
      </c>
      <c r="B72" s="4" t="s">
        <v>139</v>
      </c>
      <c r="C72" s="4" t="s">
        <v>37</v>
      </c>
      <c r="D72" s="4" t="s">
        <v>42</v>
      </c>
      <c r="E72" s="4" t="s">
        <v>140</v>
      </c>
      <c r="F72" s="4" t="s">
        <v>142</v>
      </c>
      <c r="G72" s="4" t="s">
        <v>14</v>
      </c>
      <c r="H72" s="4" t="s">
        <v>235</v>
      </c>
      <c r="I72" s="4" t="s">
        <v>263</v>
      </c>
    </row>
    <row r="73" spans="1:9" x14ac:dyDescent="0.3">
      <c r="A73" s="4"/>
      <c r="B73" s="4"/>
      <c r="C73" s="4"/>
      <c r="D73" s="4"/>
      <c r="E73" s="4" t="s">
        <v>141</v>
      </c>
      <c r="F73" s="4"/>
      <c r="G73" s="4"/>
      <c r="H73" s="4"/>
      <c r="I73" s="4"/>
    </row>
    <row r="74" spans="1:9" ht="26.4" customHeight="1" x14ac:dyDescent="0.3">
      <c r="A74" s="4" t="s">
        <v>143</v>
      </c>
      <c r="B74" s="4" t="s">
        <v>139</v>
      </c>
      <c r="C74" s="4" t="s">
        <v>144</v>
      </c>
      <c r="D74" s="4" t="s">
        <v>38</v>
      </c>
      <c r="E74" s="4" t="s">
        <v>39</v>
      </c>
      <c r="F74" s="4" t="s">
        <v>146</v>
      </c>
      <c r="G74" s="4" t="s">
        <v>14</v>
      </c>
      <c r="H74" s="4" t="s">
        <v>235</v>
      </c>
      <c r="I74" s="4" t="s">
        <v>264</v>
      </c>
    </row>
    <row r="75" spans="1:9" x14ac:dyDescent="0.3">
      <c r="A75" s="4"/>
      <c r="B75" s="4"/>
      <c r="C75" s="4"/>
      <c r="D75" s="4"/>
      <c r="E75" s="4" t="s">
        <v>145</v>
      </c>
      <c r="F75" s="4"/>
      <c r="G75" s="4"/>
      <c r="H75" s="4"/>
      <c r="I75" s="4"/>
    </row>
    <row r="76" spans="1:9" ht="66" customHeight="1" x14ac:dyDescent="0.3">
      <c r="A76" s="4" t="s">
        <v>147</v>
      </c>
      <c r="B76" s="4" t="s">
        <v>139</v>
      </c>
      <c r="C76" s="4" t="s">
        <v>148</v>
      </c>
      <c r="D76" s="4" t="s">
        <v>149</v>
      </c>
      <c r="E76" s="4" t="s">
        <v>150</v>
      </c>
      <c r="F76" s="4" t="s">
        <v>153</v>
      </c>
      <c r="G76" s="4" t="s">
        <v>14</v>
      </c>
      <c r="H76" s="4" t="s">
        <v>235</v>
      </c>
      <c r="I76" s="4" t="s">
        <v>265</v>
      </c>
    </row>
    <row r="77" spans="1:9" x14ac:dyDescent="0.3">
      <c r="A77" s="4"/>
      <c r="B77" s="4"/>
      <c r="C77" s="4"/>
      <c r="D77" s="4"/>
      <c r="E77" s="4" t="s">
        <v>151</v>
      </c>
      <c r="F77" s="4"/>
      <c r="G77" s="4"/>
      <c r="H77" s="4"/>
      <c r="I77" s="4"/>
    </row>
    <row r="78" spans="1:9" x14ac:dyDescent="0.3">
      <c r="A78" s="4"/>
      <c r="B78" s="4"/>
      <c r="C78" s="4"/>
      <c r="D78" s="4"/>
      <c r="E78" s="4" t="s">
        <v>152</v>
      </c>
      <c r="F78" s="4"/>
      <c r="G78" s="4"/>
      <c r="H78" s="4"/>
      <c r="I78" s="4"/>
    </row>
    <row r="79" spans="1:9" ht="66" customHeight="1" x14ac:dyDescent="0.3">
      <c r="A79" s="4" t="s">
        <v>154</v>
      </c>
      <c r="B79" s="4" t="s">
        <v>139</v>
      </c>
      <c r="C79" s="4" t="s">
        <v>155</v>
      </c>
      <c r="D79" s="4" t="s">
        <v>103</v>
      </c>
      <c r="E79" s="4" t="s">
        <v>156</v>
      </c>
      <c r="F79" s="4" t="s">
        <v>158</v>
      </c>
      <c r="G79" s="4" t="s">
        <v>35</v>
      </c>
      <c r="H79" s="4" t="s">
        <v>235</v>
      </c>
      <c r="I79" s="4" t="s">
        <v>266</v>
      </c>
    </row>
    <row r="80" spans="1:9" x14ac:dyDescent="0.3">
      <c r="A80" s="4"/>
      <c r="B80" s="4"/>
      <c r="C80" s="4"/>
      <c r="D80" s="4"/>
      <c r="E80" s="4" t="s">
        <v>157</v>
      </c>
      <c r="F80" s="4"/>
      <c r="G80" s="4"/>
      <c r="H80" s="4"/>
      <c r="I80" s="4"/>
    </row>
    <row r="81" spans="1:9" ht="22.8" x14ac:dyDescent="0.3">
      <c r="A81" s="4" t="s">
        <v>1158</v>
      </c>
      <c r="B81" s="4" t="s">
        <v>139</v>
      </c>
      <c r="C81" s="4" t="s">
        <v>1159</v>
      </c>
      <c r="D81" s="4" t="s">
        <v>1160</v>
      </c>
      <c r="E81" s="4" t="s">
        <v>1161</v>
      </c>
      <c r="F81" s="4" t="s">
        <v>1164</v>
      </c>
      <c r="G81" s="4" t="s">
        <v>14</v>
      </c>
      <c r="H81" s="4" t="s">
        <v>1121</v>
      </c>
      <c r="I81" s="4" t="s">
        <v>1165</v>
      </c>
    </row>
    <row r="82" spans="1:9" x14ac:dyDescent="0.3">
      <c r="A82" s="4"/>
      <c r="B82" s="4"/>
      <c r="C82" s="4"/>
      <c r="D82" s="4"/>
      <c r="E82" s="4" t="s">
        <v>1162</v>
      </c>
      <c r="F82" s="4"/>
      <c r="G82" s="4"/>
      <c r="H82" s="4"/>
      <c r="I82" s="4"/>
    </row>
    <row r="83" spans="1:9" x14ac:dyDescent="0.3">
      <c r="A83" s="4"/>
      <c r="B83" s="4"/>
      <c r="C83" s="4"/>
      <c r="D83" s="4"/>
      <c r="E83" s="4" t="s">
        <v>1163</v>
      </c>
      <c r="F83" s="4"/>
      <c r="G83" s="4"/>
      <c r="H83" s="4"/>
      <c r="I83" s="4"/>
    </row>
    <row r="84" spans="1:9" ht="52.95" customHeight="1" x14ac:dyDescent="0.3">
      <c r="A84" s="4" t="s">
        <v>159</v>
      </c>
      <c r="B84" s="4" t="s">
        <v>160</v>
      </c>
      <c r="C84" s="4" t="s">
        <v>161</v>
      </c>
      <c r="D84" s="4" t="s">
        <v>162</v>
      </c>
      <c r="E84" s="4" t="s">
        <v>163</v>
      </c>
      <c r="F84" s="4" t="s">
        <v>165</v>
      </c>
      <c r="G84" s="4" t="s">
        <v>35</v>
      </c>
      <c r="H84" s="4" t="s">
        <v>235</v>
      </c>
      <c r="I84" s="4" t="s">
        <v>267</v>
      </c>
    </row>
    <row r="85" spans="1:9" x14ac:dyDescent="0.3">
      <c r="A85" s="4"/>
      <c r="B85" s="4"/>
      <c r="C85" s="4"/>
      <c r="D85" s="4"/>
      <c r="E85" s="4" t="s">
        <v>164</v>
      </c>
      <c r="F85" s="4"/>
      <c r="G85" s="4"/>
      <c r="H85" s="4"/>
      <c r="I85" s="4"/>
    </row>
    <row r="86" spans="1:9" ht="52.95" customHeight="1" x14ac:dyDescent="0.3">
      <c r="A86" s="4" t="s">
        <v>166</v>
      </c>
      <c r="B86" s="4" t="s">
        <v>160</v>
      </c>
      <c r="C86" s="4" t="s">
        <v>167</v>
      </c>
      <c r="D86" s="4" t="s">
        <v>168</v>
      </c>
      <c r="E86" s="4" t="s">
        <v>169</v>
      </c>
      <c r="F86" s="4" t="s">
        <v>171</v>
      </c>
      <c r="G86" s="4" t="s">
        <v>35</v>
      </c>
      <c r="H86" s="4" t="s">
        <v>235</v>
      </c>
      <c r="I86" s="4" t="s">
        <v>268</v>
      </c>
    </row>
    <row r="87" spans="1:9" x14ac:dyDescent="0.3">
      <c r="A87" s="4"/>
      <c r="B87" s="4"/>
      <c r="C87" s="4"/>
      <c r="D87" s="4"/>
      <c r="E87" s="4" t="s">
        <v>170</v>
      </c>
      <c r="F87" s="4"/>
      <c r="G87" s="4"/>
      <c r="H87" s="4"/>
      <c r="I87" s="4"/>
    </row>
    <row r="88" spans="1:9" ht="52.95" customHeight="1" x14ac:dyDescent="0.3">
      <c r="A88" s="4" t="s">
        <v>172</v>
      </c>
      <c r="B88" s="4" t="s">
        <v>160</v>
      </c>
      <c r="C88" s="4" t="s">
        <v>173</v>
      </c>
      <c r="D88" s="4" t="s">
        <v>174</v>
      </c>
      <c r="E88" s="4" t="s">
        <v>175</v>
      </c>
      <c r="F88" s="4" t="s">
        <v>176</v>
      </c>
      <c r="G88" s="4" t="s">
        <v>35</v>
      </c>
      <c r="H88" s="4" t="s">
        <v>235</v>
      </c>
      <c r="I88" s="4" t="s">
        <v>269</v>
      </c>
    </row>
    <row r="89" spans="1:9" x14ac:dyDescent="0.3">
      <c r="A89" s="4"/>
      <c r="B89" s="4"/>
      <c r="C89" s="4"/>
      <c r="D89" s="4"/>
      <c r="E89" s="4" t="s">
        <v>170</v>
      </c>
      <c r="F89" s="4"/>
      <c r="G89" s="4"/>
      <c r="H89" s="4"/>
      <c r="I89" s="4"/>
    </row>
    <row r="90" spans="1:9" ht="39.6" customHeight="1" x14ac:dyDescent="0.3">
      <c r="A90" s="4" t="s">
        <v>177</v>
      </c>
      <c r="B90" s="4" t="s">
        <v>160</v>
      </c>
      <c r="C90" s="4" t="s">
        <v>178</v>
      </c>
      <c r="D90" s="4" t="s">
        <v>179</v>
      </c>
      <c r="E90" s="4" t="s">
        <v>180</v>
      </c>
      <c r="F90" s="4" t="s">
        <v>182</v>
      </c>
      <c r="G90" s="4" t="s">
        <v>117</v>
      </c>
      <c r="H90" s="4" t="s">
        <v>235</v>
      </c>
      <c r="I90" s="4" t="s">
        <v>270</v>
      </c>
    </row>
    <row r="91" spans="1:9" x14ac:dyDescent="0.3">
      <c r="A91" s="4"/>
      <c r="B91" s="4"/>
      <c r="C91" s="4"/>
      <c r="D91" s="4"/>
      <c r="E91" s="4" t="s">
        <v>181</v>
      </c>
      <c r="F91" s="4"/>
      <c r="G91" s="4"/>
      <c r="H91" s="4"/>
      <c r="I91" s="4"/>
    </row>
    <row r="92" spans="1:9" ht="39.6" customHeight="1" x14ac:dyDescent="0.3">
      <c r="A92" s="4" t="s">
        <v>183</v>
      </c>
      <c r="B92" s="4" t="s">
        <v>160</v>
      </c>
      <c r="C92" s="4" t="s">
        <v>184</v>
      </c>
      <c r="D92" s="4" t="s">
        <v>185</v>
      </c>
      <c r="E92" s="4" t="s">
        <v>186</v>
      </c>
      <c r="F92" s="4" t="s">
        <v>189</v>
      </c>
      <c r="G92" s="4" t="s">
        <v>35</v>
      </c>
      <c r="H92" s="4" t="s">
        <v>235</v>
      </c>
      <c r="I92" s="4" t="s">
        <v>271</v>
      </c>
    </row>
    <row r="93" spans="1:9" x14ac:dyDescent="0.3">
      <c r="A93" s="4"/>
      <c r="B93" s="4"/>
      <c r="C93" s="4"/>
      <c r="D93" s="4"/>
      <c r="E93" s="4" t="s">
        <v>187</v>
      </c>
      <c r="F93" s="4"/>
      <c r="G93" s="4"/>
      <c r="H93" s="4"/>
      <c r="I93" s="4"/>
    </row>
    <row r="94" spans="1:9" x14ac:dyDescent="0.3">
      <c r="A94" s="4"/>
      <c r="B94" s="4"/>
      <c r="C94" s="4"/>
      <c r="D94" s="4"/>
      <c r="E94" s="4" t="s">
        <v>188</v>
      </c>
      <c r="F94" s="4"/>
      <c r="G94" s="4"/>
      <c r="H94" s="4"/>
      <c r="I94" s="4"/>
    </row>
    <row r="95" spans="1:9" x14ac:dyDescent="0.3">
      <c r="A95" s="4" t="s">
        <v>190</v>
      </c>
      <c r="B95" s="4" t="s">
        <v>191</v>
      </c>
      <c r="C95" s="4" t="s">
        <v>192</v>
      </c>
      <c r="D95" s="4" t="s">
        <v>193</v>
      </c>
      <c r="E95" s="4" t="s">
        <v>194</v>
      </c>
      <c r="F95" s="4" t="s">
        <v>196</v>
      </c>
      <c r="G95" s="4" t="s">
        <v>35</v>
      </c>
      <c r="H95" s="4" t="s">
        <v>235</v>
      </c>
      <c r="I95" s="4" t="s">
        <v>272</v>
      </c>
    </row>
    <row r="96" spans="1:9" x14ac:dyDescent="0.3">
      <c r="A96" s="4"/>
      <c r="B96" s="4"/>
      <c r="C96" s="4"/>
      <c r="D96" s="4"/>
      <c r="E96" s="4" t="s">
        <v>195</v>
      </c>
      <c r="F96" s="4"/>
      <c r="G96" s="4"/>
      <c r="H96" s="4"/>
      <c r="I96" s="4"/>
    </row>
    <row r="97" spans="1:9" ht="39.6" customHeight="1" x14ac:dyDescent="0.3">
      <c r="A97" s="4" t="s">
        <v>197</v>
      </c>
      <c r="B97" s="4" t="s">
        <v>191</v>
      </c>
      <c r="C97" s="4" t="s">
        <v>198</v>
      </c>
      <c r="D97" s="4" t="s">
        <v>199</v>
      </c>
      <c r="E97" s="4" t="s">
        <v>200</v>
      </c>
      <c r="F97" s="4" t="s">
        <v>202</v>
      </c>
      <c r="G97" s="4" t="s">
        <v>117</v>
      </c>
      <c r="H97" s="4" t="s">
        <v>235</v>
      </c>
      <c r="I97" s="4" t="s">
        <v>273</v>
      </c>
    </row>
    <row r="98" spans="1:9" x14ac:dyDescent="0.3">
      <c r="A98" s="4"/>
      <c r="B98" s="4"/>
      <c r="C98" s="4"/>
      <c r="D98" s="4"/>
      <c r="E98" s="4" t="s">
        <v>201</v>
      </c>
      <c r="F98" s="4"/>
      <c r="G98" s="4"/>
      <c r="H98" s="4"/>
      <c r="I98" s="4"/>
    </row>
    <row r="99" spans="1:9" ht="52.95" customHeight="1" x14ac:dyDescent="0.3">
      <c r="A99" s="4" t="s">
        <v>203</v>
      </c>
      <c r="B99" s="4" t="s">
        <v>191</v>
      </c>
      <c r="C99" s="4" t="s">
        <v>204</v>
      </c>
      <c r="D99" s="4" t="s">
        <v>199</v>
      </c>
      <c r="E99" s="4" t="s">
        <v>205</v>
      </c>
      <c r="F99" s="4" t="s">
        <v>207</v>
      </c>
      <c r="G99" s="4" t="s">
        <v>117</v>
      </c>
      <c r="H99" s="4" t="s">
        <v>235</v>
      </c>
      <c r="I99" s="4" t="s">
        <v>274</v>
      </c>
    </row>
    <row r="100" spans="1:9" x14ac:dyDescent="0.3">
      <c r="A100" s="4"/>
      <c r="B100" s="4"/>
      <c r="C100" s="4"/>
      <c r="D100" s="4"/>
      <c r="E100" s="4" t="s">
        <v>206</v>
      </c>
      <c r="F100" s="4"/>
      <c r="G100" s="4"/>
      <c r="H100" s="4"/>
      <c r="I100" s="4"/>
    </row>
    <row r="101" spans="1:9" ht="22.8" x14ac:dyDescent="0.3">
      <c r="A101" s="4" t="s">
        <v>208</v>
      </c>
      <c r="B101" s="4" t="s">
        <v>209</v>
      </c>
      <c r="C101" s="4" t="s">
        <v>210</v>
      </c>
      <c r="D101" s="4" t="s">
        <v>211</v>
      </c>
      <c r="E101" s="4" t="s">
        <v>234</v>
      </c>
      <c r="F101" s="4" t="s">
        <v>213</v>
      </c>
      <c r="G101" s="4" t="s">
        <v>214</v>
      </c>
      <c r="H101" s="4" t="s">
        <v>235</v>
      </c>
      <c r="I101" s="4" t="s">
        <v>275</v>
      </c>
    </row>
    <row r="102" spans="1:9" x14ac:dyDescent="0.3">
      <c r="A102" s="4"/>
      <c r="B102" s="4"/>
      <c r="C102" s="4"/>
      <c r="D102" s="4"/>
      <c r="E102" s="4" t="s">
        <v>212</v>
      </c>
      <c r="F102" s="4"/>
      <c r="G102" s="4"/>
      <c r="H102" s="4"/>
      <c r="I102" s="4"/>
    </row>
    <row r="103" spans="1:9" ht="66" customHeight="1" x14ac:dyDescent="0.3">
      <c r="A103" s="4" t="s">
        <v>216</v>
      </c>
      <c r="B103" s="4" t="s">
        <v>209</v>
      </c>
      <c r="C103" s="4" t="s">
        <v>217</v>
      </c>
      <c r="D103" s="4" t="s">
        <v>218</v>
      </c>
      <c r="E103" s="4" t="s">
        <v>219</v>
      </c>
      <c r="F103" s="4" t="s">
        <v>220</v>
      </c>
      <c r="G103" s="4" t="s">
        <v>214</v>
      </c>
      <c r="H103" s="4" t="s">
        <v>235</v>
      </c>
      <c r="I103" s="4" t="s">
        <v>275</v>
      </c>
    </row>
    <row r="104" spans="1:9" x14ac:dyDescent="0.3">
      <c r="A104" s="4"/>
      <c r="B104" s="4"/>
      <c r="C104" s="4"/>
      <c r="D104" s="4"/>
      <c r="E104" s="4" t="s">
        <v>212</v>
      </c>
      <c r="F104" s="4"/>
      <c r="G104" s="4"/>
      <c r="H104" s="4"/>
      <c r="I104" s="4"/>
    </row>
    <row r="105" spans="1:9" x14ac:dyDescent="0.3">
      <c r="A105" s="4" t="s">
        <v>221</v>
      </c>
      <c r="B105" s="4" t="s">
        <v>222</v>
      </c>
      <c r="C105" s="4" t="s">
        <v>223</v>
      </c>
      <c r="D105" s="4" t="s">
        <v>224</v>
      </c>
      <c r="E105" s="4" t="s">
        <v>225</v>
      </c>
      <c r="F105" s="4" t="s">
        <v>227</v>
      </c>
      <c r="G105" s="4" t="s">
        <v>35</v>
      </c>
      <c r="H105" s="4" t="s">
        <v>235</v>
      </c>
      <c r="I105" s="4" t="s">
        <v>276</v>
      </c>
    </row>
    <row r="106" spans="1:9" x14ac:dyDescent="0.3">
      <c r="A106" s="4"/>
      <c r="B106" s="4"/>
      <c r="C106" s="4"/>
      <c r="D106" s="4"/>
      <c r="E106" s="4" t="s">
        <v>226</v>
      </c>
      <c r="F106" s="4"/>
      <c r="G106" s="4"/>
      <c r="H106" s="4"/>
      <c r="I106" s="4"/>
    </row>
    <row r="107" spans="1:9" ht="39.6" customHeight="1" x14ac:dyDescent="0.3">
      <c r="A107" s="4" t="s">
        <v>228</v>
      </c>
      <c r="B107" s="4" t="s">
        <v>222</v>
      </c>
      <c r="C107" s="4" t="s">
        <v>229</v>
      </c>
      <c r="D107" s="4" t="s">
        <v>230</v>
      </c>
      <c r="E107" s="4" t="s">
        <v>231</v>
      </c>
      <c r="F107" s="4" t="s">
        <v>233</v>
      </c>
      <c r="G107" s="4" t="s">
        <v>35</v>
      </c>
      <c r="H107" s="4" t="s">
        <v>235</v>
      </c>
      <c r="I107" s="4" t="s">
        <v>277</v>
      </c>
    </row>
    <row r="108" spans="1:9" x14ac:dyDescent="0.3">
      <c r="A108" s="4"/>
      <c r="B108" s="4"/>
      <c r="C108" s="4"/>
      <c r="D108" s="4"/>
      <c r="E108" s="4" t="s">
        <v>232</v>
      </c>
      <c r="F108" s="4"/>
      <c r="G108" s="4"/>
      <c r="H108" s="4"/>
      <c r="I108" s="4"/>
    </row>
  </sheetData>
  <conditionalFormatting sqref="G1:G47">
    <cfRule type="containsText" dxfId="7" priority="1" operator="containsText" text="High">
      <formula>NOT(ISERROR(SEARCH("High",G1)))</formula>
    </cfRule>
    <cfRule type="containsText" dxfId="6" priority="2" operator="containsText" text="Critical">
      <formula>NOT(ISERROR(SEARCH("Critical",G1)))</formula>
    </cfRule>
  </conditionalFormatting>
  <conditionalFormatting sqref="G48:G1048576">
    <cfRule type="containsText" dxfId="5" priority="5" operator="containsText" text="High">
      <formula>NOT(ISERROR(SEARCH("High",G48)))</formula>
    </cfRule>
    <cfRule type="containsText" dxfId="4" priority="6" operator="containsText" text="Critical">
      <formula>NOT(ISERROR(SEARCH("Critical",G48)))</formula>
    </cfRule>
  </conditionalFormatting>
  <dataValidations count="2">
    <dataValidation type="list" allowBlank="1" showInputMessage="1" showErrorMessage="1" sqref="G1:G1048576" xr:uid="{0431DAC3-4950-4AEB-BA5F-25CF05DFF90A}">
      <formula1>"Critical,High,Medium,Low"</formula1>
    </dataValidation>
    <dataValidation type="list" allowBlank="1" showInputMessage="1" showErrorMessage="1" sqref="H1:H1048576" xr:uid="{80872D2B-B489-4965-9C78-3BFD3813066C}">
      <formula1>"Not Started,In Progress,Completed,Blocked"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52284-66B8-4E3C-85B9-2AD6718AB891}">
  <dimension ref="A1:K138"/>
  <sheetViews>
    <sheetView topLeftCell="E1" zoomScale="82" zoomScaleNormal="62" workbookViewId="0">
      <selection activeCell="I136" sqref="I136"/>
    </sheetView>
  </sheetViews>
  <sheetFormatPr defaultRowHeight="13.8" x14ac:dyDescent="0.25"/>
  <cols>
    <col min="1" max="1" width="8.88671875" style="8"/>
    <col min="2" max="2" width="59.88671875" style="8" customWidth="1"/>
    <col min="3" max="3" width="17.21875" style="8" customWidth="1"/>
    <col min="4" max="4" width="86.88671875" style="8" customWidth="1"/>
    <col min="5" max="5" width="73.5546875" style="8" customWidth="1"/>
    <col min="6" max="6" width="75.33203125" style="8" customWidth="1"/>
    <col min="7" max="7" width="69.6640625" style="8" customWidth="1"/>
    <col min="8" max="8" width="9.5546875" style="8" customWidth="1"/>
    <col min="9" max="9" width="7.6640625" style="8" bestFit="1" customWidth="1"/>
    <col min="10" max="10" width="13" style="8" customWidth="1"/>
    <col min="11" max="11" width="15.33203125" style="8" customWidth="1"/>
    <col min="12" max="16384" width="8.88671875" style="8"/>
  </cols>
  <sheetData>
    <row r="1" spans="1:11" s="5" customFormat="1" x14ac:dyDescent="0.3">
      <c r="A1" s="6" t="s">
        <v>48</v>
      </c>
      <c r="B1" s="6" t="s">
        <v>278</v>
      </c>
      <c r="C1" s="6" t="s">
        <v>1</v>
      </c>
      <c r="D1" s="6" t="s">
        <v>279</v>
      </c>
      <c r="E1" s="6" t="s">
        <v>280</v>
      </c>
      <c r="F1" s="6" t="s">
        <v>5</v>
      </c>
      <c r="G1" s="6" t="s">
        <v>8</v>
      </c>
      <c r="H1" s="6" t="s">
        <v>281</v>
      </c>
      <c r="I1" s="6" t="s">
        <v>6</v>
      </c>
      <c r="J1" s="6" t="s">
        <v>7</v>
      </c>
      <c r="K1" s="6" t="s">
        <v>282</v>
      </c>
    </row>
    <row r="2" spans="1:11" x14ac:dyDescent="0.25">
      <c r="A2" s="16" t="s">
        <v>215</v>
      </c>
      <c r="B2" s="16" t="s">
        <v>283</v>
      </c>
      <c r="C2" s="16" t="s">
        <v>209</v>
      </c>
      <c r="D2" s="16" t="s">
        <v>284</v>
      </c>
      <c r="E2" s="16" t="s">
        <v>316</v>
      </c>
      <c r="F2" s="16" t="s">
        <v>285</v>
      </c>
      <c r="G2" s="16" t="s">
        <v>286</v>
      </c>
      <c r="H2" s="16" t="s">
        <v>214</v>
      </c>
      <c r="I2" s="16" t="s">
        <v>14</v>
      </c>
      <c r="J2" s="16" t="s">
        <v>287</v>
      </c>
      <c r="K2" s="16" t="s">
        <v>379</v>
      </c>
    </row>
    <row r="3" spans="1:11" x14ac:dyDescent="0.25">
      <c r="A3" s="16"/>
      <c r="B3" s="16"/>
      <c r="C3" s="16"/>
      <c r="D3" s="16"/>
      <c r="E3" s="16" t="s">
        <v>70</v>
      </c>
      <c r="F3" s="16"/>
      <c r="G3" s="16"/>
      <c r="H3" s="16"/>
      <c r="I3" s="16"/>
      <c r="J3" s="16"/>
      <c r="K3" s="16"/>
    </row>
    <row r="4" spans="1:11" x14ac:dyDescent="0.25">
      <c r="A4" s="16" t="s">
        <v>236</v>
      </c>
      <c r="B4" s="16" t="s">
        <v>288</v>
      </c>
      <c r="C4" s="16" t="s">
        <v>289</v>
      </c>
      <c r="D4" s="16" t="s">
        <v>290</v>
      </c>
      <c r="E4" s="16" t="s">
        <v>291</v>
      </c>
      <c r="F4" s="16" t="s">
        <v>294</v>
      </c>
      <c r="G4" s="16" t="s">
        <v>295</v>
      </c>
      <c r="H4" s="16" t="s">
        <v>14</v>
      </c>
      <c r="I4" s="16" t="s">
        <v>14</v>
      </c>
      <c r="J4" s="16" t="s">
        <v>287</v>
      </c>
      <c r="K4" s="16" t="s">
        <v>379</v>
      </c>
    </row>
    <row r="5" spans="1:11" x14ac:dyDescent="0.25">
      <c r="A5" s="16"/>
      <c r="B5" s="16"/>
      <c r="C5" s="16"/>
      <c r="D5" s="16"/>
      <c r="E5" s="16" t="s">
        <v>292</v>
      </c>
      <c r="F5" s="16"/>
      <c r="G5" s="16"/>
      <c r="H5" s="16"/>
      <c r="I5" s="16"/>
      <c r="J5" s="16"/>
      <c r="K5" s="16"/>
    </row>
    <row r="6" spans="1:11" x14ac:dyDescent="0.25">
      <c r="A6" s="16"/>
      <c r="B6" s="16"/>
      <c r="C6" s="16"/>
      <c r="D6" s="16"/>
      <c r="E6" s="16" t="s">
        <v>293</v>
      </c>
      <c r="F6" s="16"/>
      <c r="G6" s="16"/>
      <c r="H6" s="16"/>
      <c r="I6" s="16"/>
      <c r="J6" s="16"/>
      <c r="K6" s="16"/>
    </row>
    <row r="7" spans="1:11" x14ac:dyDescent="0.25">
      <c r="A7" s="16" t="s">
        <v>237</v>
      </c>
      <c r="B7" s="16" t="s">
        <v>296</v>
      </c>
      <c r="C7" s="16" t="s">
        <v>297</v>
      </c>
      <c r="D7" s="16" t="s">
        <v>298</v>
      </c>
      <c r="E7" s="16" t="s">
        <v>299</v>
      </c>
      <c r="F7" s="16" t="s">
        <v>301</v>
      </c>
      <c r="G7" s="16" t="s">
        <v>302</v>
      </c>
      <c r="H7" s="16" t="s">
        <v>35</v>
      </c>
      <c r="I7" s="16" t="s">
        <v>35</v>
      </c>
      <c r="J7" s="16" t="s">
        <v>287</v>
      </c>
      <c r="K7" s="16" t="s">
        <v>379</v>
      </c>
    </row>
    <row r="8" spans="1:11" x14ac:dyDescent="0.25">
      <c r="A8" s="16"/>
      <c r="B8" s="16"/>
      <c r="C8" s="16"/>
      <c r="D8" s="16"/>
      <c r="E8" s="16" t="s">
        <v>300</v>
      </c>
      <c r="F8" s="16"/>
      <c r="G8" s="16"/>
      <c r="H8" s="16"/>
      <c r="I8" s="16"/>
      <c r="J8" s="16"/>
      <c r="K8" s="16"/>
    </row>
    <row r="9" spans="1:11" x14ac:dyDescent="0.25">
      <c r="A9" s="16" t="s">
        <v>238</v>
      </c>
      <c r="B9" s="16" t="s">
        <v>303</v>
      </c>
      <c r="C9" s="16" t="s">
        <v>304</v>
      </c>
      <c r="D9" s="16" t="s">
        <v>305</v>
      </c>
      <c r="E9" s="16" t="s">
        <v>306</v>
      </c>
      <c r="F9" s="16" t="s">
        <v>308</v>
      </c>
      <c r="G9" s="16" t="s">
        <v>309</v>
      </c>
      <c r="H9" s="16" t="s">
        <v>35</v>
      </c>
      <c r="I9" s="16" t="s">
        <v>35</v>
      </c>
      <c r="J9" s="16" t="s">
        <v>287</v>
      </c>
      <c r="K9" s="16" t="s">
        <v>379</v>
      </c>
    </row>
    <row r="10" spans="1:11" x14ac:dyDescent="0.25">
      <c r="A10" s="16"/>
      <c r="B10" s="16"/>
      <c r="C10" s="16"/>
      <c r="D10" s="16"/>
      <c r="E10" s="16" t="s">
        <v>187</v>
      </c>
      <c r="F10" s="16"/>
      <c r="G10" s="16"/>
      <c r="H10" s="16"/>
      <c r="I10" s="16"/>
      <c r="J10" s="16"/>
      <c r="K10" s="16"/>
    </row>
    <row r="11" spans="1:11" x14ac:dyDescent="0.25">
      <c r="A11" s="16"/>
      <c r="B11" s="16"/>
      <c r="C11" s="16"/>
      <c r="D11" s="16"/>
      <c r="E11" s="16" t="s">
        <v>307</v>
      </c>
      <c r="F11" s="16"/>
      <c r="G11" s="16"/>
      <c r="H11" s="16"/>
      <c r="I11" s="16"/>
      <c r="J11" s="16"/>
      <c r="K11" s="16"/>
    </row>
    <row r="12" spans="1:11" x14ac:dyDescent="0.25">
      <c r="A12" s="16" t="s">
        <v>239</v>
      </c>
      <c r="B12" s="16" t="s">
        <v>310</v>
      </c>
      <c r="C12" s="16" t="s">
        <v>95</v>
      </c>
      <c r="D12" s="16" t="s">
        <v>311</v>
      </c>
      <c r="E12" s="16" t="s">
        <v>312</v>
      </c>
      <c r="F12" s="16" t="s">
        <v>314</v>
      </c>
      <c r="G12" s="16" t="s">
        <v>315</v>
      </c>
      <c r="H12" s="16" t="s">
        <v>117</v>
      </c>
      <c r="I12" s="16" t="s">
        <v>117</v>
      </c>
      <c r="J12" s="16" t="s">
        <v>287</v>
      </c>
      <c r="K12" s="16" t="s">
        <v>379</v>
      </c>
    </row>
    <row r="13" spans="1:11" x14ac:dyDescent="0.25">
      <c r="A13" s="16"/>
      <c r="B13" s="16"/>
      <c r="C13" s="16"/>
      <c r="D13" s="16"/>
      <c r="E13" s="16" t="s">
        <v>313</v>
      </c>
      <c r="F13" s="16"/>
      <c r="G13" s="16"/>
      <c r="H13" s="16"/>
      <c r="I13" s="16"/>
      <c r="J13" s="16"/>
      <c r="K13" s="16"/>
    </row>
    <row r="15" spans="1:11" x14ac:dyDescent="0.25">
      <c r="A15" s="8" t="s">
        <v>744</v>
      </c>
      <c r="B15" s="8" t="s">
        <v>745</v>
      </c>
      <c r="C15" s="8" t="s">
        <v>746</v>
      </c>
      <c r="D15" s="8" t="s">
        <v>747</v>
      </c>
      <c r="E15" s="8" t="s">
        <v>824</v>
      </c>
      <c r="F15" s="8" t="s">
        <v>748</v>
      </c>
      <c r="G15" s="8" t="s">
        <v>749</v>
      </c>
      <c r="H15" s="8" t="s">
        <v>214</v>
      </c>
      <c r="I15" s="8" t="s">
        <v>14</v>
      </c>
      <c r="J15" s="8" t="s">
        <v>287</v>
      </c>
      <c r="K15" s="8" t="s">
        <v>379</v>
      </c>
    </row>
    <row r="16" spans="1:11" x14ac:dyDescent="0.25">
      <c r="E16" s="8" t="s">
        <v>825</v>
      </c>
    </row>
    <row r="17" spans="1:11" x14ac:dyDescent="0.25">
      <c r="E17" s="8" t="s">
        <v>826</v>
      </c>
    </row>
    <row r="18" spans="1:11" x14ac:dyDescent="0.25">
      <c r="A18" s="8" t="s">
        <v>750</v>
      </c>
      <c r="B18" s="8" t="s">
        <v>751</v>
      </c>
      <c r="C18" s="8" t="s">
        <v>752</v>
      </c>
      <c r="D18" s="8" t="s">
        <v>753</v>
      </c>
      <c r="E18" s="8" t="s">
        <v>827</v>
      </c>
      <c r="F18" s="8" t="s">
        <v>754</v>
      </c>
      <c r="G18" s="8" t="s">
        <v>755</v>
      </c>
      <c r="H18" s="8" t="s">
        <v>214</v>
      </c>
      <c r="I18" s="8" t="s">
        <v>14</v>
      </c>
      <c r="J18" s="8" t="s">
        <v>287</v>
      </c>
      <c r="K18" s="8" t="s">
        <v>379</v>
      </c>
    </row>
    <row r="19" spans="1:11" x14ac:dyDescent="0.25">
      <c r="E19" s="8" t="s">
        <v>828</v>
      </c>
    </row>
    <row r="20" spans="1:11" x14ac:dyDescent="0.25">
      <c r="E20" s="8" t="s">
        <v>829</v>
      </c>
    </row>
    <row r="21" spans="1:11" x14ac:dyDescent="0.25">
      <c r="A21" s="8" t="s">
        <v>756</v>
      </c>
      <c r="B21" s="8" t="s">
        <v>757</v>
      </c>
      <c r="C21" s="8" t="s">
        <v>752</v>
      </c>
      <c r="D21" s="8" t="s">
        <v>758</v>
      </c>
      <c r="E21" s="8" t="s">
        <v>830</v>
      </c>
      <c r="F21" s="8" t="s">
        <v>759</v>
      </c>
      <c r="G21" s="8" t="s">
        <v>760</v>
      </c>
      <c r="H21" s="8" t="s">
        <v>214</v>
      </c>
      <c r="I21" s="8" t="s">
        <v>14</v>
      </c>
      <c r="J21" s="8" t="s">
        <v>287</v>
      </c>
      <c r="K21" s="8" t="s">
        <v>379</v>
      </c>
    </row>
    <row r="22" spans="1:11" x14ac:dyDescent="0.25">
      <c r="E22" s="8" t="s">
        <v>831</v>
      </c>
    </row>
    <row r="23" spans="1:11" x14ac:dyDescent="0.25">
      <c r="E23" s="8" t="s">
        <v>832</v>
      </c>
    </row>
    <row r="24" spans="1:11" x14ac:dyDescent="0.25">
      <c r="A24" s="8" t="s">
        <v>761</v>
      </c>
      <c r="B24" s="8" t="s">
        <v>762</v>
      </c>
      <c r="C24" s="8" t="s">
        <v>49</v>
      </c>
      <c r="D24" s="8" t="s">
        <v>763</v>
      </c>
      <c r="E24" s="8" t="s">
        <v>43</v>
      </c>
      <c r="F24" s="8" t="s">
        <v>764</v>
      </c>
      <c r="G24" s="8" t="s">
        <v>765</v>
      </c>
      <c r="H24" s="8" t="s">
        <v>214</v>
      </c>
      <c r="I24" s="8" t="s">
        <v>14</v>
      </c>
      <c r="J24" s="8" t="s">
        <v>287</v>
      </c>
      <c r="K24" s="8" t="s">
        <v>379</v>
      </c>
    </row>
    <row r="25" spans="1:11" x14ac:dyDescent="0.25">
      <c r="E25" s="8" t="s">
        <v>833</v>
      </c>
    </row>
    <row r="26" spans="1:11" x14ac:dyDescent="0.25">
      <c r="E26" s="8" t="s">
        <v>834</v>
      </c>
    </row>
    <row r="27" spans="1:11" x14ac:dyDescent="0.25">
      <c r="A27" s="8" t="s">
        <v>766</v>
      </c>
      <c r="B27" s="8" t="s">
        <v>767</v>
      </c>
      <c r="C27" s="8" t="s">
        <v>49</v>
      </c>
      <c r="D27" s="8" t="s">
        <v>768</v>
      </c>
      <c r="E27" s="8" t="s">
        <v>45</v>
      </c>
      <c r="F27" s="8" t="s">
        <v>769</v>
      </c>
      <c r="G27" s="8" t="s">
        <v>770</v>
      </c>
      <c r="H27" s="8" t="s">
        <v>771</v>
      </c>
      <c r="I27" s="8" t="s">
        <v>14</v>
      </c>
      <c r="J27" s="8" t="s">
        <v>287</v>
      </c>
      <c r="K27" s="8" t="s">
        <v>379</v>
      </c>
    </row>
    <row r="28" spans="1:11" x14ac:dyDescent="0.25">
      <c r="E28" s="8" t="s">
        <v>835</v>
      </c>
    </row>
    <row r="29" spans="1:11" x14ac:dyDescent="0.25">
      <c r="E29" s="8" t="s">
        <v>836</v>
      </c>
    </row>
    <row r="30" spans="1:11" x14ac:dyDescent="0.25">
      <c r="A30" s="8" t="s">
        <v>772</v>
      </c>
      <c r="B30" s="8" t="s">
        <v>773</v>
      </c>
      <c r="C30" s="8" t="s">
        <v>774</v>
      </c>
      <c r="D30" s="8" t="s">
        <v>775</v>
      </c>
      <c r="E30" s="8" t="s">
        <v>837</v>
      </c>
      <c r="F30" s="8" t="s">
        <v>776</v>
      </c>
      <c r="G30" s="8" t="s">
        <v>777</v>
      </c>
      <c r="H30" s="8" t="s">
        <v>771</v>
      </c>
      <c r="I30" s="8" t="s">
        <v>14</v>
      </c>
      <c r="J30" s="8" t="s">
        <v>287</v>
      </c>
      <c r="K30" s="8" t="s">
        <v>379</v>
      </c>
    </row>
    <row r="31" spans="1:11" x14ac:dyDescent="0.25">
      <c r="E31" s="8" t="s">
        <v>838</v>
      </c>
    </row>
    <row r="32" spans="1:11" x14ac:dyDescent="0.25">
      <c r="E32" s="8" t="s">
        <v>18</v>
      </c>
    </row>
    <row r="33" spans="1:11" x14ac:dyDescent="0.25">
      <c r="A33" s="8" t="s">
        <v>778</v>
      </c>
      <c r="B33" s="8" t="s">
        <v>779</v>
      </c>
      <c r="C33" s="8" t="s">
        <v>752</v>
      </c>
      <c r="D33" s="8" t="s">
        <v>780</v>
      </c>
      <c r="E33" s="8" t="s">
        <v>839</v>
      </c>
      <c r="F33" s="8" t="s">
        <v>781</v>
      </c>
      <c r="G33" s="8" t="s">
        <v>782</v>
      </c>
      <c r="H33" s="8" t="s">
        <v>771</v>
      </c>
      <c r="I33" s="8" t="s">
        <v>14</v>
      </c>
      <c r="J33" s="8" t="s">
        <v>287</v>
      </c>
      <c r="K33" s="8" t="s">
        <v>379</v>
      </c>
    </row>
    <row r="34" spans="1:11" x14ac:dyDescent="0.25">
      <c r="E34" s="8" t="s">
        <v>840</v>
      </c>
    </row>
    <row r="35" spans="1:11" x14ac:dyDescent="0.25">
      <c r="A35" s="8" t="s">
        <v>783</v>
      </c>
      <c r="B35" s="8" t="s">
        <v>784</v>
      </c>
      <c r="C35" s="8" t="s">
        <v>746</v>
      </c>
      <c r="D35" s="8" t="s">
        <v>785</v>
      </c>
      <c r="E35" s="8" t="s">
        <v>841</v>
      </c>
      <c r="F35" s="8" t="s">
        <v>786</v>
      </c>
      <c r="G35" s="8" t="s">
        <v>787</v>
      </c>
      <c r="H35" s="8" t="s">
        <v>214</v>
      </c>
      <c r="I35" s="8" t="s">
        <v>14</v>
      </c>
      <c r="J35" s="8" t="s">
        <v>287</v>
      </c>
      <c r="K35" s="8" t="s">
        <v>379</v>
      </c>
    </row>
    <row r="36" spans="1:11" x14ac:dyDescent="0.25">
      <c r="E36" s="8" t="s">
        <v>842</v>
      </c>
    </row>
    <row r="37" spans="1:11" x14ac:dyDescent="0.25">
      <c r="E37" s="8" t="s">
        <v>843</v>
      </c>
    </row>
    <row r="38" spans="1:11" x14ac:dyDescent="0.25">
      <c r="A38" s="8" t="s">
        <v>788</v>
      </c>
      <c r="B38" s="8" t="s">
        <v>789</v>
      </c>
      <c r="C38" s="8" t="s">
        <v>774</v>
      </c>
      <c r="D38" s="8" t="s">
        <v>790</v>
      </c>
      <c r="E38" s="8" t="s">
        <v>844</v>
      </c>
      <c r="F38" s="8" t="s">
        <v>791</v>
      </c>
      <c r="G38" s="8" t="s">
        <v>93</v>
      </c>
      <c r="H38" s="8" t="s">
        <v>771</v>
      </c>
      <c r="I38" s="8" t="s">
        <v>14</v>
      </c>
      <c r="J38" s="8" t="s">
        <v>287</v>
      </c>
      <c r="K38" s="8" t="s">
        <v>379</v>
      </c>
    </row>
    <row r="39" spans="1:11" x14ac:dyDescent="0.25">
      <c r="E39" s="8" t="s">
        <v>845</v>
      </c>
    </row>
    <row r="41" spans="1:11" x14ac:dyDescent="0.25">
      <c r="A41" s="8" t="s">
        <v>792</v>
      </c>
      <c r="B41" s="8" t="s">
        <v>793</v>
      </c>
      <c r="C41" s="8" t="s">
        <v>794</v>
      </c>
      <c r="D41" s="8" t="s">
        <v>795</v>
      </c>
      <c r="E41" s="8" t="s">
        <v>846</v>
      </c>
      <c r="F41" s="8" t="s">
        <v>796</v>
      </c>
      <c r="G41" s="8" t="s">
        <v>797</v>
      </c>
      <c r="H41" s="8" t="s">
        <v>771</v>
      </c>
      <c r="I41" s="8" t="s">
        <v>14</v>
      </c>
      <c r="J41" s="8" t="s">
        <v>287</v>
      </c>
      <c r="K41" s="8" t="s">
        <v>379</v>
      </c>
    </row>
    <row r="42" spans="1:11" x14ac:dyDescent="0.25">
      <c r="E42" s="8" t="s">
        <v>847</v>
      </c>
    </row>
    <row r="43" spans="1:11" x14ac:dyDescent="0.25">
      <c r="A43" s="8" t="s">
        <v>798</v>
      </c>
      <c r="B43" s="8" t="s">
        <v>799</v>
      </c>
      <c r="C43" s="8" t="s">
        <v>800</v>
      </c>
      <c r="D43" s="8" t="s">
        <v>801</v>
      </c>
      <c r="E43" s="8" t="s">
        <v>824</v>
      </c>
      <c r="F43" s="8" t="s">
        <v>802</v>
      </c>
      <c r="G43" s="8" t="s">
        <v>803</v>
      </c>
      <c r="H43" s="8" t="s">
        <v>214</v>
      </c>
      <c r="I43" s="8" t="s">
        <v>14</v>
      </c>
      <c r="J43" s="8" t="s">
        <v>287</v>
      </c>
      <c r="K43" s="8" t="s">
        <v>379</v>
      </c>
    </row>
    <row r="44" spans="1:11" x14ac:dyDescent="0.25">
      <c r="E44" s="8" t="s">
        <v>848</v>
      </c>
    </row>
    <row r="45" spans="1:11" x14ac:dyDescent="0.25">
      <c r="E45" s="8" t="s">
        <v>849</v>
      </c>
    </row>
    <row r="46" spans="1:11" x14ac:dyDescent="0.25">
      <c r="E46" s="8" t="s">
        <v>850</v>
      </c>
    </row>
    <row r="47" spans="1:11" x14ac:dyDescent="0.25">
      <c r="A47" s="8" t="s">
        <v>804</v>
      </c>
      <c r="B47" s="8" t="s">
        <v>805</v>
      </c>
      <c r="C47" s="8" t="s">
        <v>800</v>
      </c>
      <c r="D47" s="8" t="s">
        <v>806</v>
      </c>
      <c r="E47" s="8" t="s">
        <v>851</v>
      </c>
      <c r="F47" s="8" t="s">
        <v>748</v>
      </c>
      <c r="G47" s="8" t="s">
        <v>807</v>
      </c>
      <c r="H47" s="8" t="s">
        <v>214</v>
      </c>
      <c r="I47" s="8" t="s">
        <v>14</v>
      </c>
      <c r="J47" s="8" t="s">
        <v>287</v>
      </c>
      <c r="K47" s="8" t="s">
        <v>379</v>
      </c>
    </row>
    <row r="48" spans="1:11" x14ac:dyDescent="0.25">
      <c r="E48" s="8" t="s">
        <v>852</v>
      </c>
    </row>
    <row r="49" spans="1:11" x14ac:dyDescent="0.25">
      <c r="E49" s="8" t="s">
        <v>853</v>
      </c>
    </row>
    <row r="50" spans="1:11" x14ac:dyDescent="0.25">
      <c r="A50" s="8" t="s">
        <v>808</v>
      </c>
      <c r="B50" s="8" t="s">
        <v>809</v>
      </c>
      <c r="C50" s="8" t="s">
        <v>95</v>
      </c>
      <c r="D50" s="8" t="s">
        <v>810</v>
      </c>
      <c r="E50" s="8" t="s">
        <v>854</v>
      </c>
      <c r="F50" s="8" t="s">
        <v>811</v>
      </c>
      <c r="G50" s="8" t="s">
        <v>812</v>
      </c>
      <c r="H50" s="8" t="s">
        <v>771</v>
      </c>
      <c r="I50" s="8" t="s">
        <v>14</v>
      </c>
      <c r="J50" s="8" t="s">
        <v>287</v>
      </c>
      <c r="K50" s="8" t="s">
        <v>379</v>
      </c>
    </row>
    <row r="51" spans="1:11" x14ac:dyDescent="0.25">
      <c r="E51" s="8" t="s">
        <v>855</v>
      </c>
    </row>
    <row r="52" spans="1:11" x14ac:dyDescent="0.25">
      <c r="E52" s="8" t="s">
        <v>856</v>
      </c>
    </row>
    <row r="53" spans="1:11" x14ac:dyDescent="0.25">
      <c r="A53" s="8" t="s">
        <v>813</v>
      </c>
      <c r="B53" s="8" t="s">
        <v>814</v>
      </c>
      <c r="C53" s="8" t="s">
        <v>815</v>
      </c>
      <c r="D53" s="8" t="s">
        <v>816</v>
      </c>
      <c r="E53" s="8" t="s">
        <v>857</v>
      </c>
      <c r="F53" s="8" t="s">
        <v>817</v>
      </c>
      <c r="G53" s="8" t="s">
        <v>818</v>
      </c>
      <c r="H53" s="8" t="s">
        <v>214</v>
      </c>
      <c r="I53" s="8" t="s">
        <v>14</v>
      </c>
      <c r="J53" s="8" t="s">
        <v>287</v>
      </c>
      <c r="K53" s="8" t="s">
        <v>379</v>
      </c>
    </row>
    <row r="54" spans="1:11" x14ac:dyDescent="0.25">
      <c r="E54" s="8" t="s">
        <v>858</v>
      </c>
    </row>
    <row r="55" spans="1:11" x14ac:dyDescent="0.25">
      <c r="A55" s="8" t="s">
        <v>819</v>
      </c>
      <c r="B55" s="8" t="s">
        <v>820</v>
      </c>
      <c r="C55" s="8" t="s">
        <v>209</v>
      </c>
      <c r="D55" s="8" t="s">
        <v>821</v>
      </c>
      <c r="E55" s="8" t="s">
        <v>859</v>
      </c>
      <c r="F55" s="8" t="s">
        <v>822</v>
      </c>
      <c r="G55" s="8" t="s">
        <v>823</v>
      </c>
      <c r="H55" s="8" t="s">
        <v>214</v>
      </c>
      <c r="I55" s="8" t="s">
        <v>14</v>
      </c>
      <c r="J55" s="8" t="s">
        <v>287</v>
      </c>
      <c r="K55" s="8" t="s">
        <v>379</v>
      </c>
    </row>
    <row r="56" spans="1:11" x14ac:dyDescent="0.25">
      <c r="E56" s="8" t="s">
        <v>860</v>
      </c>
    </row>
    <row r="57" spans="1:11" x14ac:dyDescent="0.25">
      <c r="E57" s="8" t="s">
        <v>861</v>
      </c>
    </row>
    <row r="58" spans="1:11" x14ac:dyDescent="0.25">
      <c r="A58" s="8" t="s">
        <v>862</v>
      </c>
      <c r="B58" s="8" t="s">
        <v>863</v>
      </c>
      <c r="C58" s="8" t="s">
        <v>864</v>
      </c>
      <c r="D58" s="8" t="s">
        <v>865</v>
      </c>
      <c r="E58" s="8" t="s">
        <v>866</v>
      </c>
      <c r="F58" s="8" t="s">
        <v>867</v>
      </c>
      <c r="G58" s="8" t="s">
        <v>868</v>
      </c>
      <c r="H58" s="8" t="s">
        <v>214</v>
      </c>
      <c r="I58" s="8" t="s">
        <v>14</v>
      </c>
      <c r="J58" s="8" t="s">
        <v>287</v>
      </c>
      <c r="K58" s="8" t="s">
        <v>379</v>
      </c>
    </row>
    <row r="59" spans="1:11" x14ac:dyDescent="0.25">
      <c r="E59" s="8" t="s">
        <v>869</v>
      </c>
    </row>
    <row r="60" spans="1:11" x14ac:dyDescent="0.25">
      <c r="A60" s="8" t="s">
        <v>870</v>
      </c>
      <c r="B60" s="8" t="s">
        <v>871</v>
      </c>
      <c r="C60" s="8" t="s">
        <v>872</v>
      </c>
      <c r="D60" s="8" t="s">
        <v>873</v>
      </c>
      <c r="E60" s="8" t="s">
        <v>874</v>
      </c>
      <c r="F60" s="8" t="s">
        <v>875</v>
      </c>
      <c r="G60" s="8" t="s">
        <v>876</v>
      </c>
      <c r="H60" s="8" t="s">
        <v>214</v>
      </c>
      <c r="I60" s="8" t="s">
        <v>14</v>
      </c>
      <c r="J60" s="8" t="s">
        <v>287</v>
      </c>
      <c r="K60" s="8" t="s">
        <v>379</v>
      </c>
    </row>
    <row r="61" spans="1:11" x14ac:dyDescent="0.25">
      <c r="E61" s="8" t="s">
        <v>877</v>
      </c>
    </row>
    <row r="62" spans="1:11" x14ac:dyDescent="0.25">
      <c r="A62" s="8" t="s">
        <v>878</v>
      </c>
      <c r="B62" s="8" t="s">
        <v>879</v>
      </c>
      <c r="C62" s="8" t="s">
        <v>880</v>
      </c>
      <c r="D62" s="8" t="s">
        <v>881</v>
      </c>
      <c r="E62" s="8" t="s">
        <v>882</v>
      </c>
      <c r="F62" s="8" t="s">
        <v>883</v>
      </c>
      <c r="G62" s="8" t="s">
        <v>884</v>
      </c>
      <c r="H62" s="8" t="s">
        <v>214</v>
      </c>
      <c r="I62" s="8" t="s">
        <v>14</v>
      </c>
      <c r="J62" s="8" t="s">
        <v>287</v>
      </c>
      <c r="K62" s="8" t="s">
        <v>379</v>
      </c>
    </row>
    <row r="63" spans="1:11" x14ac:dyDescent="0.25">
      <c r="E63" s="8" t="s">
        <v>885</v>
      </c>
    </row>
    <row r="64" spans="1:11" x14ac:dyDescent="0.25">
      <c r="A64" s="8" t="s">
        <v>886</v>
      </c>
      <c r="B64" s="8" t="s">
        <v>887</v>
      </c>
      <c r="C64" s="8" t="s">
        <v>774</v>
      </c>
      <c r="D64" s="8" t="s">
        <v>888</v>
      </c>
      <c r="E64" s="8" t="s">
        <v>889</v>
      </c>
      <c r="F64" s="8" t="s">
        <v>890</v>
      </c>
      <c r="G64" s="8" t="s">
        <v>891</v>
      </c>
      <c r="H64" s="8" t="s">
        <v>214</v>
      </c>
      <c r="I64" s="8" t="s">
        <v>14</v>
      </c>
      <c r="J64" s="8" t="s">
        <v>287</v>
      </c>
      <c r="K64" s="8" t="s">
        <v>379</v>
      </c>
    </row>
    <row r="65" spans="1:11" x14ac:dyDescent="0.25">
      <c r="E65" s="8" t="s">
        <v>892</v>
      </c>
    </row>
    <row r="66" spans="1:11" x14ac:dyDescent="0.25">
      <c r="A66" s="8" t="s">
        <v>893</v>
      </c>
      <c r="B66" s="8" t="s">
        <v>894</v>
      </c>
      <c r="C66" s="8" t="s">
        <v>746</v>
      </c>
      <c r="D66" s="8" t="s">
        <v>895</v>
      </c>
      <c r="E66" s="8" t="s">
        <v>896</v>
      </c>
      <c r="F66" s="8" t="s">
        <v>897</v>
      </c>
      <c r="G66" s="8" t="s">
        <v>898</v>
      </c>
      <c r="H66" s="8" t="s">
        <v>771</v>
      </c>
      <c r="I66" s="8" t="s">
        <v>14</v>
      </c>
      <c r="J66" s="8" t="s">
        <v>287</v>
      </c>
      <c r="K66" s="8" t="s">
        <v>379</v>
      </c>
    </row>
    <row r="67" spans="1:11" x14ac:dyDescent="0.25">
      <c r="E67" s="8" t="s">
        <v>899</v>
      </c>
    </row>
    <row r="68" spans="1:11" x14ac:dyDescent="0.25">
      <c r="A68" s="8" t="s">
        <v>900</v>
      </c>
      <c r="B68" s="8" t="s">
        <v>901</v>
      </c>
      <c r="C68" s="8" t="s">
        <v>774</v>
      </c>
      <c r="D68" s="8" t="s">
        <v>902</v>
      </c>
      <c r="E68" s="8" t="s">
        <v>903</v>
      </c>
      <c r="F68" s="8" t="s">
        <v>904</v>
      </c>
      <c r="G68" s="8" t="s">
        <v>905</v>
      </c>
      <c r="H68" s="8" t="s">
        <v>771</v>
      </c>
      <c r="I68" s="8" t="s">
        <v>14</v>
      </c>
      <c r="J68" s="8" t="s">
        <v>287</v>
      </c>
      <c r="K68" s="8" t="s">
        <v>379</v>
      </c>
    </row>
    <row r="69" spans="1:11" x14ac:dyDescent="0.25">
      <c r="E69" s="8" t="s">
        <v>906</v>
      </c>
    </row>
    <row r="70" spans="1:11" x14ac:dyDescent="0.25">
      <c r="E70" s="8" t="s">
        <v>907</v>
      </c>
    </row>
    <row r="71" spans="1:11" x14ac:dyDescent="0.25">
      <c r="A71" s="8" t="s">
        <v>908</v>
      </c>
      <c r="B71" s="8" t="s">
        <v>909</v>
      </c>
      <c r="C71" s="8" t="s">
        <v>910</v>
      </c>
      <c r="D71" s="8" t="s">
        <v>911</v>
      </c>
      <c r="E71" s="8" t="s">
        <v>912</v>
      </c>
      <c r="F71" s="8" t="s">
        <v>913</v>
      </c>
      <c r="G71" s="8" t="s">
        <v>914</v>
      </c>
      <c r="H71" s="8" t="s">
        <v>771</v>
      </c>
      <c r="I71" s="8" t="s">
        <v>14</v>
      </c>
      <c r="J71" s="8" t="s">
        <v>287</v>
      </c>
      <c r="K71" s="8" t="s">
        <v>379</v>
      </c>
    </row>
    <row r="72" spans="1:11" x14ac:dyDescent="0.25">
      <c r="E72" s="8" t="s">
        <v>915</v>
      </c>
    </row>
    <row r="73" spans="1:11" x14ac:dyDescent="0.25">
      <c r="A73" s="8" t="s">
        <v>916</v>
      </c>
      <c r="B73" s="8" t="s">
        <v>917</v>
      </c>
      <c r="C73" s="8" t="s">
        <v>49</v>
      </c>
      <c r="D73" s="8" t="s">
        <v>918</v>
      </c>
      <c r="E73" s="8" t="s">
        <v>919</v>
      </c>
      <c r="F73" s="8" t="s">
        <v>920</v>
      </c>
      <c r="G73" s="8" t="s">
        <v>921</v>
      </c>
      <c r="H73" s="8" t="s">
        <v>771</v>
      </c>
      <c r="I73" s="8" t="s">
        <v>14</v>
      </c>
      <c r="J73" s="8" t="s">
        <v>287</v>
      </c>
      <c r="K73" s="8" t="s">
        <v>379</v>
      </c>
    </row>
    <row r="74" spans="1:11" x14ac:dyDescent="0.25">
      <c r="E74" s="8" t="s">
        <v>922</v>
      </c>
    </row>
    <row r="75" spans="1:11" x14ac:dyDescent="0.25">
      <c r="A75" s="8" t="s">
        <v>923</v>
      </c>
      <c r="B75" s="8" t="s">
        <v>924</v>
      </c>
      <c r="C75" s="8" t="s">
        <v>752</v>
      </c>
      <c r="D75" s="8" t="s">
        <v>925</v>
      </c>
      <c r="E75" s="8" t="s">
        <v>926</v>
      </c>
      <c r="F75" s="8" t="s">
        <v>927</v>
      </c>
      <c r="G75" s="8" t="s">
        <v>928</v>
      </c>
      <c r="H75" s="8" t="s">
        <v>771</v>
      </c>
      <c r="I75" s="8" t="s">
        <v>14</v>
      </c>
      <c r="J75" s="8" t="s">
        <v>287</v>
      </c>
      <c r="K75" s="8" t="s">
        <v>379</v>
      </c>
    </row>
    <row r="76" spans="1:11" x14ac:dyDescent="0.25">
      <c r="E76" s="8" t="s">
        <v>929</v>
      </c>
    </row>
    <row r="77" spans="1:11" x14ac:dyDescent="0.25">
      <c r="A77" s="8" t="s">
        <v>930</v>
      </c>
      <c r="B77" s="8" t="s">
        <v>931</v>
      </c>
      <c r="C77" s="8" t="s">
        <v>872</v>
      </c>
      <c r="D77" s="8" t="s">
        <v>932</v>
      </c>
      <c r="E77" s="8" t="s">
        <v>933</v>
      </c>
      <c r="F77" s="8" t="s">
        <v>934</v>
      </c>
      <c r="G77" s="8" t="s">
        <v>935</v>
      </c>
      <c r="H77" s="8" t="s">
        <v>771</v>
      </c>
      <c r="I77" s="8" t="s">
        <v>14</v>
      </c>
      <c r="J77" s="8" t="s">
        <v>287</v>
      </c>
      <c r="K77" s="8" t="s">
        <v>379</v>
      </c>
    </row>
    <row r="78" spans="1:11" x14ac:dyDescent="0.25">
      <c r="E78" s="8" t="s">
        <v>936</v>
      </c>
    </row>
    <row r="79" spans="1:11" x14ac:dyDescent="0.25">
      <c r="A79" s="8" t="s">
        <v>937</v>
      </c>
      <c r="B79" s="8" t="s">
        <v>938</v>
      </c>
      <c r="C79" s="8" t="s">
        <v>939</v>
      </c>
      <c r="D79" s="8" t="s">
        <v>940</v>
      </c>
      <c r="E79" s="8" t="s">
        <v>941</v>
      </c>
      <c r="F79" s="8" t="s">
        <v>942</v>
      </c>
      <c r="G79" s="8" t="s">
        <v>943</v>
      </c>
      <c r="H79" s="8" t="s">
        <v>214</v>
      </c>
      <c r="I79" s="8" t="s">
        <v>14</v>
      </c>
      <c r="J79" s="8" t="s">
        <v>287</v>
      </c>
      <c r="K79" s="8" t="s">
        <v>379</v>
      </c>
    </row>
    <row r="80" spans="1:11" x14ac:dyDescent="0.25">
      <c r="E80" s="8" t="s">
        <v>944</v>
      </c>
    </row>
    <row r="81" spans="1:11" x14ac:dyDescent="0.25">
      <c r="A81" s="8" t="s">
        <v>945</v>
      </c>
      <c r="B81" s="8" t="s">
        <v>946</v>
      </c>
      <c r="C81" s="8" t="s">
        <v>800</v>
      </c>
      <c r="D81" s="8" t="s">
        <v>947</v>
      </c>
      <c r="E81" s="8" t="s">
        <v>948</v>
      </c>
      <c r="F81" s="8" t="s">
        <v>949</v>
      </c>
      <c r="G81" s="8" t="s">
        <v>950</v>
      </c>
      <c r="H81" s="8" t="s">
        <v>771</v>
      </c>
      <c r="I81" s="8" t="s">
        <v>35</v>
      </c>
      <c r="J81" s="8" t="s">
        <v>287</v>
      </c>
      <c r="K81" s="8" t="s">
        <v>379</v>
      </c>
    </row>
    <row r="82" spans="1:11" x14ac:dyDescent="0.25">
      <c r="E82" s="8" t="s">
        <v>951</v>
      </c>
    </row>
    <row r="83" spans="1:11" x14ac:dyDescent="0.25">
      <c r="A83" s="8" t="s">
        <v>952</v>
      </c>
      <c r="B83" s="8" t="s">
        <v>953</v>
      </c>
      <c r="C83" s="8" t="s">
        <v>304</v>
      </c>
      <c r="D83" s="8" t="s">
        <v>954</v>
      </c>
      <c r="E83" s="8" t="s">
        <v>955</v>
      </c>
      <c r="F83" s="8" t="s">
        <v>956</v>
      </c>
      <c r="G83" s="8" t="s">
        <v>957</v>
      </c>
      <c r="H83" s="8" t="s">
        <v>771</v>
      </c>
      <c r="I83" s="8" t="s">
        <v>14</v>
      </c>
      <c r="J83" s="8" t="s">
        <v>287</v>
      </c>
      <c r="K83" s="8" t="s">
        <v>379</v>
      </c>
    </row>
    <row r="84" spans="1:11" x14ac:dyDescent="0.25">
      <c r="E84" s="8" t="s">
        <v>958</v>
      </c>
    </row>
    <row r="85" spans="1:11" x14ac:dyDescent="0.25">
      <c r="A85" s="8" t="s">
        <v>959</v>
      </c>
      <c r="B85" s="8" t="s">
        <v>960</v>
      </c>
      <c r="C85" s="8" t="s">
        <v>961</v>
      </c>
      <c r="D85" s="8" t="s">
        <v>962</v>
      </c>
      <c r="E85" s="8" t="s">
        <v>963</v>
      </c>
      <c r="F85" s="8" t="s">
        <v>964</v>
      </c>
      <c r="G85" s="8" t="s">
        <v>965</v>
      </c>
      <c r="H85" s="8" t="s">
        <v>771</v>
      </c>
      <c r="I85" s="8" t="s">
        <v>35</v>
      </c>
      <c r="J85" s="8" t="s">
        <v>287</v>
      </c>
      <c r="K85" s="8" t="s">
        <v>379</v>
      </c>
    </row>
    <row r="86" spans="1:11" x14ac:dyDescent="0.25">
      <c r="E86" s="8" t="s">
        <v>966</v>
      </c>
    </row>
    <row r="87" spans="1:11" x14ac:dyDescent="0.25">
      <c r="A87" s="8" t="s">
        <v>967</v>
      </c>
      <c r="B87" s="8" t="s">
        <v>968</v>
      </c>
      <c r="C87" s="8" t="s">
        <v>969</v>
      </c>
      <c r="D87" s="8" t="s">
        <v>970</v>
      </c>
      <c r="E87" s="8" t="s">
        <v>971</v>
      </c>
      <c r="F87" s="8" t="s">
        <v>972</v>
      </c>
      <c r="G87" s="8" t="s">
        <v>973</v>
      </c>
      <c r="H87" s="8" t="s">
        <v>771</v>
      </c>
      <c r="I87" s="8" t="s">
        <v>14</v>
      </c>
      <c r="J87" s="8" t="s">
        <v>287</v>
      </c>
      <c r="K87" s="8" t="s">
        <v>379</v>
      </c>
    </row>
    <row r="88" spans="1:11" x14ac:dyDescent="0.25">
      <c r="E88" s="8" t="s">
        <v>974</v>
      </c>
    </row>
    <row r="90" spans="1:11" x14ac:dyDescent="0.25">
      <c r="A90" s="8" t="s">
        <v>975</v>
      </c>
      <c r="B90" s="8" t="s">
        <v>976</v>
      </c>
      <c r="C90" s="8" t="s">
        <v>49</v>
      </c>
      <c r="D90" s="8" t="s">
        <v>977</v>
      </c>
      <c r="E90" s="8" t="s">
        <v>978</v>
      </c>
      <c r="F90" s="8" t="s">
        <v>979</v>
      </c>
      <c r="G90" s="8" t="s">
        <v>980</v>
      </c>
      <c r="H90" s="8" t="s">
        <v>214</v>
      </c>
      <c r="I90" s="8" t="s">
        <v>14</v>
      </c>
      <c r="J90" s="8" t="s">
        <v>287</v>
      </c>
      <c r="K90" s="8" t="s">
        <v>379</v>
      </c>
    </row>
    <row r="91" spans="1:11" x14ac:dyDescent="0.25">
      <c r="E91" s="8" t="s">
        <v>981</v>
      </c>
    </row>
    <row r="92" spans="1:11" x14ac:dyDescent="0.25">
      <c r="A92" s="8" t="s">
        <v>982</v>
      </c>
      <c r="B92" s="8" t="s">
        <v>983</v>
      </c>
      <c r="C92" s="8" t="s">
        <v>49</v>
      </c>
      <c r="D92" s="8" t="s">
        <v>984</v>
      </c>
      <c r="E92" s="8" t="s">
        <v>985</v>
      </c>
      <c r="F92" s="8" t="s">
        <v>986</v>
      </c>
      <c r="G92" s="8" t="s">
        <v>987</v>
      </c>
      <c r="H92" s="8" t="s">
        <v>214</v>
      </c>
      <c r="I92" s="8" t="s">
        <v>14</v>
      </c>
      <c r="J92" s="8" t="s">
        <v>287</v>
      </c>
      <c r="K92" s="8" t="s">
        <v>379</v>
      </c>
    </row>
    <row r="93" spans="1:11" x14ac:dyDescent="0.25">
      <c r="E93" s="8" t="s">
        <v>988</v>
      </c>
    </row>
    <row r="94" spans="1:11" x14ac:dyDescent="0.25">
      <c r="A94" s="8" t="s">
        <v>989</v>
      </c>
      <c r="B94" s="8" t="s">
        <v>990</v>
      </c>
      <c r="C94" s="8" t="s">
        <v>880</v>
      </c>
      <c r="D94" s="8" t="s">
        <v>991</v>
      </c>
      <c r="E94" s="8" t="s">
        <v>992</v>
      </c>
      <c r="F94" s="8" t="s">
        <v>993</v>
      </c>
      <c r="G94" s="8" t="s">
        <v>994</v>
      </c>
      <c r="H94" s="8" t="s">
        <v>771</v>
      </c>
      <c r="I94" s="8" t="s">
        <v>14</v>
      </c>
      <c r="J94" s="8" t="s">
        <v>287</v>
      </c>
      <c r="K94" s="8" t="s">
        <v>379</v>
      </c>
    </row>
    <row r="95" spans="1:11" x14ac:dyDescent="0.25">
      <c r="E95" s="8" t="s">
        <v>995</v>
      </c>
    </row>
    <row r="96" spans="1:11" x14ac:dyDescent="0.25">
      <c r="A96" s="8" t="s">
        <v>996</v>
      </c>
      <c r="B96" s="8" t="s">
        <v>997</v>
      </c>
      <c r="C96" s="8" t="s">
        <v>746</v>
      </c>
      <c r="D96" s="8" t="s">
        <v>998</v>
      </c>
      <c r="E96" s="8" t="s">
        <v>39</v>
      </c>
      <c r="F96" s="8" t="s">
        <v>999</v>
      </c>
      <c r="G96" s="8" t="s">
        <v>1000</v>
      </c>
      <c r="H96" s="8" t="s">
        <v>214</v>
      </c>
      <c r="I96" s="8" t="s">
        <v>14</v>
      </c>
      <c r="J96" s="8" t="s">
        <v>287</v>
      </c>
      <c r="K96" s="8" t="s">
        <v>379</v>
      </c>
    </row>
    <row r="97" spans="1:11" x14ac:dyDescent="0.25">
      <c r="E97" s="8" t="s">
        <v>1001</v>
      </c>
    </row>
    <row r="98" spans="1:11" x14ac:dyDescent="0.25">
      <c r="A98" s="8" t="s">
        <v>1002</v>
      </c>
      <c r="B98" s="8" t="s">
        <v>1003</v>
      </c>
      <c r="C98" s="8" t="s">
        <v>297</v>
      </c>
      <c r="D98" s="8" t="s">
        <v>1004</v>
      </c>
      <c r="E98" s="8" t="s">
        <v>1005</v>
      </c>
      <c r="F98" s="8" t="s">
        <v>1006</v>
      </c>
      <c r="G98" s="8" t="s">
        <v>1007</v>
      </c>
      <c r="H98" s="8" t="s">
        <v>771</v>
      </c>
      <c r="I98" s="8" t="s">
        <v>14</v>
      </c>
      <c r="J98" s="8" t="s">
        <v>287</v>
      </c>
      <c r="K98" s="8" t="s">
        <v>379</v>
      </c>
    </row>
    <row r="99" spans="1:11" x14ac:dyDescent="0.25">
      <c r="E99" s="8" t="s">
        <v>70</v>
      </c>
    </row>
    <row r="100" spans="1:11" x14ac:dyDescent="0.25">
      <c r="A100" s="8" t="s">
        <v>1008</v>
      </c>
      <c r="B100" s="8" t="s">
        <v>1009</v>
      </c>
      <c r="C100" s="8" t="s">
        <v>1010</v>
      </c>
      <c r="D100" s="8" t="s">
        <v>1011</v>
      </c>
      <c r="E100" s="8" t="s">
        <v>1012</v>
      </c>
      <c r="F100" s="8" t="s">
        <v>1013</v>
      </c>
      <c r="G100" s="8" t="s">
        <v>1014</v>
      </c>
      <c r="H100" s="8" t="s">
        <v>771</v>
      </c>
      <c r="I100" s="8" t="s">
        <v>35</v>
      </c>
      <c r="J100" s="8" t="s">
        <v>287</v>
      </c>
      <c r="K100" s="8" t="s">
        <v>379</v>
      </c>
    </row>
    <row r="101" spans="1:11" x14ac:dyDescent="0.25">
      <c r="E101" s="8" t="s">
        <v>1015</v>
      </c>
    </row>
    <row r="102" spans="1:11" x14ac:dyDescent="0.25">
      <c r="A102" s="8" t="s">
        <v>1016</v>
      </c>
      <c r="B102" s="8" t="s">
        <v>1017</v>
      </c>
      <c r="C102" s="8" t="s">
        <v>752</v>
      </c>
      <c r="D102" s="8" t="s">
        <v>1018</v>
      </c>
      <c r="E102" s="8" t="s">
        <v>1019</v>
      </c>
      <c r="F102" s="8" t="s">
        <v>1020</v>
      </c>
      <c r="G102" s="8" t="s">
        <v>1021</v>
      </c>
      <c r="H102" s="8" t="s">
        <v>771</v>
      </c>
      <c r="I102" s="8" t="s">
        <v>14</v>
      </c>
      <c r="J102" s="8" t="s">
        <v>287</v>
      </c>
      <c r="K102" s="8" t="s">
        <v>379</v>
      </c>
    </row>
    <row r="103" spans="1:11" x14ac:dyDescent="0.25">
      <c r="E103" s="8" t="s">
        <v>1022</v>
      </c>
    </row>
    <row r="104" spans="1:11" x14ac:dyDescent="0.25">
      <c r="A104" s="8" t="s">
        <v>1023</v>
      </c>
      <c r="B104" s="8" t="s">
        <v>1024</v>
      </c>
      <c r="C104" s="8" t="s">
        <v>910</v>
      </c>
      <c r="D104" s="8" t="s">
        <v>1025</v>
      </c>
      <c r="E104" s="8" t="s">
        <v>1026</v>
      </c>
      <c r="F104" s="8" t="s">
        <v>1027</v>
      </c>
      <c r="G104" s="8" t="s">
        <v>1028</v>
      </c>
      <c r="H104" s="8" t="s">
        <v>771</v>
      </c>
      <c r="I104" s="8" t="s">
        <v>35</v>
      </c>
      <c r="J104" s="8" t="s">
        <v>287</v>
      </c>
      <c r="K104" s="8" t="s">
        <v>379</v>
      </c>
    </row>
    <row r="105" spans="1:11" x14ac:dyDescent="0.25">
      <c r="E105" s="8" t="s">
        <v>1029</v>
      </c>
    </row>
    <row r="106" spans="1:11" x14ac:dyDescent="0.25">
      <c r="A106" s="8" t="s">
        <v>1030</v>
      </c>
      <c r="B106" s="8" t="s">
        <v>1031</v>
      </c>
      <c r="C106" s="8" t="s">
        <v>49</v>
      </c>
      <c r="D106" s="8" t="s">
        <v>1032</v>
      </c>
      <c r="E106" s="8" t="s">
        <v>1033</v>
      </c>
      <c r="F106" s="8" t="s">
        <v>1034</v>
      </c>
      <c r="G106" s="8" t="s">
        <v>1035</v>
      </c>
      <c r="H106" s="8" t="s">
        <v>771</v>
      </c>
      <c r="I106" s="8" t="s">
        <v>14</v>
      </c>
      <c r="J106" s="8" t="s">
        <v>287</v>
      </c>
      <c r="K106" s="8" t="s">
        <v>379</v>
      </c>
    </row>
    <row r="107" spans="1:11" x14ac:dyDescent="0.25">
      <c r="E107" s="8" t="s">
        <v>1036</v>
      </c>
    </row>
    <row r="108" spans="1:11" x14ac:dyDescent="0.25">
      <c r="A108" s="8" t="s">
        <v>1037</v>
      </c>
      <c r="B108" s="8" t="s">
        <v>1038</v>
      </c>
      <c r="C108" s="8" t="s">
        <v>1039</v>
      </c>
      <c r="D108" s="8" t="s">
        <v>1040</v>
      </c>
      <c r="E108" s="8" t="s">
        <v>1041</v>
      </c>
      <c r="F108" s="8" t="s">
        <v>1042</v>
      </c>
      <c r="G108" s="8" t="s">
        <v>1043</v>
      </c>
      <c r="H108" s="8" t="s">
        <v>214</v>
      </c>
      <c r="I108" s="8" t="s">
        <v>14</v>
      </c>
      <c r="J108" s="8" t="s">
        <v>287</v>
      </c>
      <c r="K108" s="8" t="s">
        <v>379</v>
      </c>
    </row>
    <row r="109" spans="1:11" x14ac:dyDescent="0.25">
      <c r="E109" s="8" t="s">
        <v>1044</v>
      </c>
    </row>
    <row r="110" spans="1:11" x14ac:dyDescent="0.25">
      <c r="A110" s="8" t="s">
        <v>1045</v>
      </c>
      <c r="B110" s="8" t="s">
        <v>1046</v>
      </c>
      <c r="C110" s="8" t="s">
        <v>864</v>
      </c>
      <c r="D110" s="8" t="s">
        <v>1047</v>
      </c>
      <c r="E110" s="8" t="s">
        <v>1048</v>
      </c>
      <c r="F110" s="8" t="s">
        <v>1049</v>
      </c>
      <c r="G110" s="8" t="s">
        <v>1050</v>
      </c>
      <c r="H110" s="8" t="s">
        <v>214</v>
      </c>
      <c r="I110" s="8" t="s">
        <v>14</v>
      </c>
      <c r="J110" s="8" t="s">
        <v>287</v>
      </c>
      <c r="K110" s="8" t="s">
        <v>379</v>
      </c>
    </row>
    <row r="111" spans="1:11" x14ac:dyDescent="0.25">
      <c r="E111" s="8" t="s">
        <v>1051</v>
      </c>
    </row>
    <row r="112" spans="1:11" x14ac:dyDescent="0.25">
      <c r="A112" s="8" t="s">
        <v>1052</v>
      </c>
      <c r="B112" s="8" t="s">
        <v>1053</v>
      </c>
      <c r="C112" s="8" t="s">
        <v>209</v>
      </c>
      <c r="D112" s="8" t="s">
        <v>1054</v>
      </c>
      <c r="E112" s="8" t="s">
        <v>1055</v>
      </c>
      <c r="F112" s="8" t="s">
        <v>1056</v>
      </c>
      <c r="G112" s="8" t="s">
        <v>1057</v>
      </c>
      <c r="H112" s="8" t="s">
        <v>214</v>
      </c>
      <c r="I112" s="8" t="s">
        <v>14</v>
      </c>
      <c r="J112" s="8" t="s">
        <v>287</v>
      </c>
      <c r="K112" s="8" t="s">
        <v>379</v>
      </c>
    </row>
    <row r="113" spans="1:11" x14ac:dyDescent="0.25">
      <c r="E113" s="8" t="s">
        <v>1058</v>
      </c>
    </row>
    <row r="114" spans="1:11" x14ac:dyDescent="0.25">
      <c r="A114" s="8" t="s">
        <v>1059</v>
      </c>
      <c r="B114" s="8" t="s">
        <v>1060</v>
      </c>
      <c r="C114" s="8" t="s">
        <v>1061</v>
      </c>
      <c r="D114" s="8" t="s">
        <v>1062</v>
      </c>
      <c r="E114" s="8" t="s">
        <v>1063</v>
      </c>
      <c r="F114" s="8" t="s">
        <v>1064</v>
      </c>
      <c r="G114" s="8" t="s">
        <v>1065</v>
      </c>
      <c r="H114" s="8" t="s">
        <v>214</v>
      </c>
      <c r="I114" s="8" t="s">
        <v>14</v>
      </c>
      <c r="J114" s="8" t="s">
        <v>287</v>
      </c>
      <c r="K114" s="8" t="s">
        <v>379</v>
      </c>
    </row>
    <row r="115" spans="1:11" x14ac:dyDescent="0.25">
      <c r="E115" s="8" t="s">
        <v>1066</v>
      </c>
    </row>
    <row r="116" spans="1:11" x14ac:dyDescent="0.25">
      <c r="A116" s="8" t="s">
        <v>1067</v>
      </c>
      <c r="B116" s="8" t="s">
        <v>1068</v>
      </c>
      <c r="C116" s="8" t="s">
        <v>774</v>
      </c>
      <c r="D116" s="8" t="s">
        <v>1069</v>
      </c>
      <c r="E116" s="8" t="s">
        <v>1070</v>
      </c>
      <c r="F116" s="8" t="s">
        <v>1071</v>
      </c>
      <c r="G116" s="8" t="s">
        <v>1072</v>
      </c>
      <c r="H116" s="8" t="s">
        <v>771</v>
      </c>
      <c r="I116" s="8" t="s">
        <v>14</v>
      </c>
      <c r="J116" s="8" t="s">
        <v>287</v>
      </c>
      <c r="K116" s="8" t="s">
        <v>379</v>
      </c>
    </row>
    <row r="117" spans="1:11" x14ac:dyDescent="0.25">
      <c r="E117" s="8" t="s">
        <v>1073</v>
      </c>
    </row>
    <row r="118" spans="1:11" x14ac:dyDescent="0.25">
      <c r="A118" s="8" t="s">
        <v>1074</v>
      </c>
      <c r="B118" s="8" t="s">
        <v>1075</v>
      </c>
      <c r="C118" s="8" t="s">
        <v>222</v>
      </c>
      <c r="D118" s="8" t="s">
        <v>1076</v>
      </c>
      <c r="E118" s="8" t="s">
        <v>1077</v>
      </c>
      <c r="F118" s="8" t="s">
        <v>1078</v>
      </c>
      <c r="G118" s="8" t="s">
        <v>1079</v>
      </c>
      <c r="H118" s="8" t="s">
        <v>771</v>
      </c>
      <c r="I118" s="8" t="s">
        <v>14</v>
      </c>
      <c r="J118" s="8" t="s">
        <v>287</v>
      </c>
      <c r="K118" s="8" t="s">
        <v>379</v>
      </c>
    </row>
    <row r="119" spans="1:11" x14ac:dyDescent="0.25">
      <c r="E119" s="8" t="s">
        <v>1080</v>
      </c>
    </row>
    <row r="120" spans="1:11" x14ac:dyDescent="0.25">
      <c r="A120" s="8" t="s">
        <v>1081</v>
      </c>
      <c r="B120" s="8" t="s">
        <v>1082</v>
      </c>
      <c r="C120" s="8" t="s">
        <v>1083</v>
      </c>
      <c r="D120" s="8" t="s">
        <v>1084</v>
      </c>
      <c r="E120" s="8" t="s">
        <v>1085</v>
      </c>
      <c r="F120" s="8" t="s">
        <v>1086</v>
      </c>
      <c r="G120" s="8" t="s">
        <v>1087</v>
      </c>
      <c r="H120" s="8" t="s">
        <v>771</v>
      </c>
      <c r="I120" s="8" t="s">
        <v>14</v>
      </c>
      <c r="J120" s="8" t="s">
        <v>287</v>
      </c>
      <c r="K120" s="8" t="s">
        <v>379</v>
      </c>
    </row>
    <row r="121" spans="1:11" x14ac:dyDescent="0.25">
      <c r="E121" s="8" t="s">
        <v>1088</v>
      </c>
    </row>
    <row r="122" spans="1:11" x14ac:dyDescent="0.25">
      <c r="A122" s="8" t="s">
        <v>1089</v>
      </c>
      <c r="B122" s="8" t="s">
        <v>1090</v>
      </c>
      <c r="C122" s="8" t="s">
        <v>49</v>
      </c>
      <c r="D122" s="8" t="s">
        <v>1091</v>
      </c>
      <c r="E122" s="8" t="s">
        <v>1092</v>
      </c>
      <c r="F122" s="8" t="s">
        <v>1093</v>
      </c>
      <c r="G122" s="8" t="s">
        <v>1094</v>
      </c>
      <c r="H122" s="8" t="s">
        <v>214</v>
      </c>
      <c r="I122" s="8" t="s">
        <v>14</v>
      </c>
      <c r="J122" s="8" t="s">
        <v>287</v>
      </c>
      <c r="K122" s="8" t="s">
        <v>379</v>
      </c>
    </row>
    <row r="123" spans="1:11" x14ac:dyDescent="0.25">
      <c r="E123" s="8" t="s">
        <v>1095</v>
      </c>
    </row>
    <row r="124" spans="1:11" x14ac:dyDescent="0.25">
      <c r="A124" s="8" t="s">
        <v>1096</v>
      </c>
      <c r="B124" s="8" t="s">
        <v>1097</v>
      </c>
      <c r="C124" s="8" t="s">
        <v>209</v>
      </c>
      <c r="D124" s="8" t="s">
        <v>1098</v>
      </c>
      <c r="E124" s="8" t="s">
        <v>1099</v>
      </c>
      <c r="F124" s="8" t="s">
        <v>1100</v>
      </c>
      <c r="G124" s="8" t="s">
        <v>1101</v>
      </c>
      <c r="H124" s="8" t="s">
        <v>214</v>
      </c>
      <c r="I124" s="8" t="s">
        <v>14</v>
      </c>
      <c r="J124" s="8" t="s">
        <v>287</v>
      </c>
      <c r="K124" s="8" t="s">
        <v>379</v>
      </c>
    </row>
    <row r="125" spans="1:11" x14ac:dyDescent="0.25">
      <c r="E125" s="8" t="s">
        <v>1102</v>
      </c>
    </row>
    <row r="126" spans="1:11" x14ac:dyDescent="0.25">
      <c r="A126" s="8" t="s">
        <v>1103</v>
      </c>
      <c r="B126" s="8" t="s">
        <v>1104</v>
      </c>
      <c r="C126" s="8" t="s">
        <v>49</v>
      </c>
      <c r="D126" s="8" t="s">
        <v>1105</v>
      </c>
      <c r="E126" s="8" t="s">
        <v>1106</v>
      </c>
      <c r="F126" s="8" t="s">
        <v>1107</v>
      </c>
      <c r="G126" s="8" t="s">
        <v>1108</v>
      </c>
      <c r="H126" s="8" t="s">
        <v>771</v>
      </c>
      <c r="I126" s="8" t="s">
        <v>14</v>
      </c>
      <c r="J126" s="8" t="s">
        <v>287</v>
      </c>
      <c r="K126" s="8" t="s">
        <v>379</v>
      </c>
    </row>
    <row r="127" spans="1:11" x14ac:dyDescent="0.25">
      <c r="E127" s="8" t="s">
        <v>1109</v>
      </c>
    </row>
    <row r="128" spans="1:11" x14ac:dyDescent="0.25">
      <c r="A128" s="8" t="s">
        <v>1110</v>
      </c>
      <c r="B128" s="8" t="s">
        <v>1111</v>
      </c>
      <c r="C128" s="8" t="s">
        <v>752</v>
      </c>
      <c r="D128" s="8" t="s">
        <v>1112</v>
      </c>
      <c r="E128" s="8" t="s">
        <v>1113</v>
      </c>
      <c r="F128" s="8" t="s">
        <v>1114</v>
      </c>
      <c r="G128" s="8" t="s">
        <v>1115</v>
      </c>
      <c r="H128" s="8" t="s">
        <v>771</v>
      </c>
      <c r="I128" s="8" t="s">
        <v>14</v>
      </c>
      <c r="J128" s="8" t="s">
        <v>287</v>
      </c>
      <c r="K128" s="8" t="s">
        <v>379</v>
      </c>
    </row>
    <row r="129" spans="1:11" x14ac:dyDescent="0.25">
      <c r="B129" s="17"/>
      <c r="E129" s="8" t="s">
        <v>1116</v>
      </c>
    </row>
    <row r="130" spans="1:11" ht="24.6" customHeight="1" x14ac:dyDescent="0.25">
      <c r="A130" s="8" t="s">
        <v>1136</v>
      </c>
      <c r="B130" s="17" t="s">
        <v>1144</v>
      </c>
      <c r="C130" s="8" t="s">
        <v>49</v>
      </c>
      <c r="D130" s="8" t="s">
        <v>1137</v>
      </c>
      <c r="E130" s="8" t="s">
        <v>1138</v>
      </c>
    </row>
    <row r="131" spans="1:11" x14ac:dyDescent="0.25">
      <c r="E131" s="8" t="s">
        <v>1139</v>
      </c>
      <c r="F131" s="8" t="s">
        <v>1140</v>
      </c>
      <c r="G131" s="8" t="s">
        <v>1141</v>
      </c>
      <c r="H131" s="8" t="s">
        <v>771</v>
      </c>
      <c r="I131" s="8" t="s">
        <v>14</v>
      </c>
      <c r="J131" s="8" t="s">
        <v>1121</v>
      </c>
      <c r="K131" s="8" t="s">
        <v>1142</v>
      </c>
    </row>
    <row r="132" spans="1:11" x14ac:dyDescent="0.25">
      <c r="A132" s="8" t="s">
        <v>1143</v>
      </c>
      <c r="B132" s="8" t="s">
        <v>1145</v>
      </c>
      <c r="C132" s="8" t="s">
        <v>73</v>
      </c>
      <c r="D132" s="8" t="s">
        <v>1146</v>
      </c>
      <c r="E132" s="8" t="s">
        <v>1147</v>
      </c>
      <c r="F132" s="8" t="s">
        <v>1149</v>
      </c>
      <c r="G132" s="8" t="s">
        <v>1150</v>
      </c>
      <c r="H132" s="8" t="s">
        <v>771</v>
      </c>
      <c r="I132" s="8" t="s">
        <v>14</v>
      </c>
      <c r="J132" s="8" t="s">
        <v>1121</v>
      </c>
      <c r="K132" s="8" t="s">
        <v>1142</v>
      </c>
    </row>
    <row r="133" spans="1:11" x14ac:dyDescent="0.25">
      <c r="E133" s="8" t="s">
        <v>1148</v>
      </c>
    </row>
    <row r="134" spans="1:11" x14ac:dyDescent="0.25">
      <c r="A134" s="8" t="s">
        <v>1151</v>
      </c>
      <c r="B134" s="8" t="s">
        <v>1152</v>
      </c>
      <c r="C134" s="8" t="s">
        <v>95</v>
      </c>
      <c r="D134" s="8" t="s">
        <v>1153</v>
      </c>
      <c r="E134" s="8" t="s">
        <v>1154</v>
      </c>
      <c r="F134" s="8" t="s">
        <v>1156</v>
      </c>
      <c r="G134" s="8" t="s">
        <v>1157</v>
      </c>
      <c r="H134" s="8" t="s">
        <v>14</v>
      </c>
      <c r="I134" s="8" t="s">
        <v>14</v>
      </c>
      <c r="J134" s="8" t="s">
        <v>1121</v>
      </c>
      <c r="K134" s="8" t="s">
        <v>1142</v>
      </c>
    </row>
    <row r="135" spans="1:11" x14ac:dyDescent="0.25">
      <c r="E135" s="8" t="s">
        <v>1155</v>
      </c>
    </row>
    <row r="136" spans="1:11" x14ac:dyDescent="0.25">
      <c r="A136" s="8" t="s">
        <v>1166</v>
      </c>
      <c r="B136" s="8" t="s">
        <v>1167</v>
      </c>
      <c r="C136" s="8" t="s">
        <v>746</v>
      </c>
      <c r="D136" s="8" t="s">
        <v>1168</v>
      </c>
      <c r="E136" s="8" t="s">
        <v>1169</v>
      </c>
      <c r="F136" s="8" t="s">
        <v>1172</v>
      </c>
      <c r="G136" s="8" t="s">
        <v>1173</v>
      </c>
      <c r="H136" s="8" t="s">
        <v>35</v>
      </c>
      <c r="I136" s="8" t="s">
        <v>14</v>
      </c>
      <c r="J136" s="8" t="s">
        <v>1121</v>
      </c>
      <c r="K136" s="8" t="s">
        <v>1142</v>
      </c>
    </row>
    <row r="137" spans="1:11" x14ac:dyDescent="0.25">
      <c r="E137" s="8" t="s">
        <v>1170</v>
      </c>
    </row>
    <row r="138" spans="1:11" x14ac:dyDescent="0.25">
      <c r="E138" s="8" t="s">
        <v>1171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337D-717B-4BCB-BF87-23651842B165}">
  <dimension ref="A1:I131"/>
  <sheetViews>
    <sheetView topLeftCell="C1" workbookViewId="0">
      <selection activeCell="H149" sqref="H149"/>
    </sheetView>
  </sheetViews>
  <sheetFormatPr defaultRowHeight="14.4" x14ac:dyDescent="0.3"/>
  <cols>
    <col min="1" max="1" width="11.5546875" bestFit="1" customWidth="1"/>
    <col min="2" max="2" width="18.77734375" bestFit="1" customWidth="1"/>
    <col min="3" max="3" width="59" bestFit="1" customWidth="1"/>
    <col min="4" max="4" width="10.21875" bestFit="1" customWidth="1"/>
    <col min="5" max="5" width="14.5546875" bestFit="1" customWidth="1"/>
    <col min="6" max="6" width="10.77734375" bestFit="1" customWidth="1"/>
    <col min="7" max="7" width="69.109375" bestFit="1" customWidth="1"/>
    <col min="8" max="8" width="19.77734375" bestFit="1" customWidth="1"/>
    <col min="9" max="9" width="8.44140625" bestFit="1" customWidth="1"/>
  </cols>
  <sheetData>
    <row r="1" spans="1:9" ht="17.399999999999999" x14ac:dyDescent="0.3">
      <c r="A1" s="9" t="s">
        <v>531</v>
      </c>
      <c r="B1" s="9" t="s">
        <v>532</v>
      </c>
      <c r="C1" s="9" t="s">
        <v>533</v>
      </c>
      <c r="D1" s="9" t="s">
        <v>317</v>
      </c>
      <c r="E1" s="9" t="s">
        <v>318</v>
      </c>
      <c r="F1" s="9" t="s">
        <v>281</v>
      </c>
      <c r="G1" s="9" t="s">
        <v>534</v>
      </c>
      <c r="H1" s="9" t="s">
        <v>319</v>
      </c>
      <c r="I1" s="9" t="s">
        <v>7</v>
      </c>
    </row>
    <row r="2" spans="1:9" ht="17.399999999999999" x14ac:dyDescent="0.3">
      <c r="A2" s="10" t="s">
        <v>320</v>
      </c>
      <c r="B2" s="10" t="s">
        <v>209</v>
      </c>
      <c r="C2" s="10" t="s">
        <v>321</v>
      </c>
      <c r="D2" s="10" t="s">
        <v>14</v>
      </c>
      <c r="E2" s="10" t="s">
        <v>14</v>
      </c>
      <c r="F2" s="10" t="s">
        <v>214</v>
      </c>
      <c r="G2" s="10" t="s">
        <v>322</v>
      </c>
      <c r="H2" s="10" t="s">
        <v>380</v>
      </c>
      <c r="I2" s="10" t="s">
        <v>1174</v>
      </c>
    </row>
    <row r="3" spans="1:9" ht="17.399999999999999" x14ac:dyDescent="0.3">
      <c r="A3" s="10" t="s">
        <v>324</v>
      </c>
      <c r="B3" s="10" t="s">
        <v>289</v>
      </c>
      <c r="C3" s="10" t="s">
        <v>713</v>
      </c>
      <c r="D3" s="10" t="s">
        <v>14</v>
      </c>
      <c r="E3" s="10" t="s">
        <v>35</v>
      </c>
      <c r="F3" s="10" t="s">
        <v>14</v>
      </c>
      <c r="G3" s="10" t="s">
        <v>325</v>
      </c>
      <c r="H3" s="10" t="s">
        <v>380</v>
      </c>
      <c r="I3" s="10" t="s">
        <v>1174</v>
      </c>
    </row>
    <row r="4" spans="1:9" ht="17.399999999999999" x14ac:dyDescent="0.3">
      <c r="A4" s="10" t="s">
        <v>326</v>
      </c>
      <c r="B4" s="10" t="s">
        <v>209</v>
      </c>
      <c r="C4" s="10" t="s">
        <v>327</v>
      </c>
      <c r="D4" s="10" t="s">
        <v>14</v>
      </c>
      <c r="E4" s="10" t="s">
        <v>35</v>
      </c>
      <c r="F4" s="10" t="s">
        <v>14</v>
      </c>
      <c r="G4" s="10" t="s">
        <v>328</v>
      </c>
      <c r="H4" s="10" t="s">
        <v>380</v>
      </c>
      <c r="I4" s="10" t="s">
        <v>1174</v>
      </c>
    </row>
    <row r="5" spans="1:9" ht="17.399999999999999" x14ac:dyDescent="0.3">
      <c r="A5" s="10" t="s">
        <v>329</v>
      </c>
      <c r="B5" s="10" t="s">
        <v>209</v>
      </c>
      <c r="C5" s="10" t="s">
        <v>330</v>
      </c>
      <c r="D5" s="10" t="s">
        <v>14</v>
      </c>
      <c r="E5" s="10" t="s">
        <v>14</v>
      </c>
      <c r="F5" s="10" t="s">
        <v>214</v>
      </c>
      <c r="G5" s="10" t="s">
        <v>331</v>
      </c>
      <c r="H5" s="10" t="s">
        <v>380</v>
      </c>
      <c r="I5" s="10" t="s">
        <v>1174</v>
      </c>
    </row>
    <row r="6" spans="1:9" ht="17.399999999999999" x14ac:dyDescent="0.3">
      <c r="A6" s="10" t="s">
        <v>332</v>
      </c>
      <c r="B6" s="10" t="s">
        <v>222</v>
      </c>
      <c r="C6" s="10" t="s">
        <v>714</v>
      </c>
      <c r="D6" s="10" t="s">
        <v>35</v>
      </c>
      <c r="E6" s="10" t="s">
        <v>35</v>
      </c>
      <c r="F6" s="10" t="s">
        <v>35</v>
      </c>
      <c r="G6" s="10" t="s">
        <v>333</v>
      </c>
      <c r="H6" s="10" t="s">
        <v>380</v>
      </c>
      <c r="I6" s="10" t="s">
        <v>1174</v>
      </c>
    </row>
    <row r="7" spans="1:9" ht="17.399999999999999" x14ac:dyDescent="0.3">
      <c r="A7" s="10" t="s">
        <v>334</v>
      </c>
      <c r="B7" s="10" t="s">
        <v>335</v>
      </c>
      <c r="C7" s="10" t="s">
        <v>336</v>
      </c>
      <c r="D7" s="10" t="s">
        <v>35</v>
      </c>
      <c r="E7" s="10" t="s">
        <v>14</v>
      </c>
      <c r="F7" s="10" t="s">
        <v>35</v>
      </c>
      <c r="G7" s="10" t="s">
        <v>715</v>
      </c>
      <c r="H7" s="10" t="s">
        <v>380</v>
      </c>
      <c r="I7" s="10" t="s">
        <v>1174</v>
      </c>
    </row>
    <row r="8" spans="1:9" ht="17.399999999999999" x14ac:dyDescent="0.3">
      <c r="A8" s="10" t="s">
        <v>337</v>
      </c>
      <c r="B8" s="10" t="s">
        <v>335</v>
      </c>
      <c r="C8" s="10" t="s">
        <v>338</v>
      </c>
      <c r="D8" s="10" t="s">
        <v>117</v>
      </c>
      <c r="E8" s="10" t="s">
        <v>14</v>
      </c>
      <c r="F8" s="10" t="s">
        <v>117</v>
      </c>
      <c r="G8" s="10" t="s">
        <v>339</v>
      </c>
      <c r="H8" s="10" t="s">
        <v>380</v>
      </c>
      <c r="I8" s="10" t="s">
        <v>1174</v>
      </c>
    </row>
    <row r="9" spans="1:9" ht="17.399999999999999" x14ac:dyDescent="0.3">
      <c r="A9" s="10" t="s">
        <v>340</v>
      </c>
      <c r="B9" s="10" t="s">
        <v>341</v>
      </c>
      <c r="C9" s="10" t="s">
        <v>342</v>
      </c>
      <c r="D9" s="10" t="s">
        <v>35</v>
      </c>
      <c r="E9" s="10" t="s">
        <v>35</v>
      </c>
      <c r="F9" s="10" t="s">
        <v>35</v>
      </c>
      <c r="G9" s="10" t="s">
        <v>343</v>
      </c>
      <c r="H9" s="10" t="s">
        <v>380</v>
      </c>
      <c r="I9" s="10" t="s">
        <v>1174</v>
      </c>
    </row>
    <row r="10" spans="1:9" ht="17.399999999999999" x14ac:dyDescent="0.3">
      <c r="A10" s="10" t="s">
        <v>345</v>
      </c>
      <c r="B10" s="10" t="s">
        <v>346</v>
      </c>
      <c r="C10" s="10" t="s">
        <v>347</v>
      </c>
      <c r="D10" s="10" t="s">
        <v>35</v>
      </c>
      <c r="E10" s="10" t="s">
        <v>14</v>
      </c>
      <c r="F10" s="10" t="s">
        <v>35</v>
      </c>
      <c r="G10" s="10" t="s">
        <v>348</v>
      </c>
      <c r="H10" s="10" t="s">
        <v>380</v>
      </c>
      <c r="I10" s="10" t="s">
        <v>1174</v>
      </c>
    </row>
    <row r="11" spans="1:9" ht="17.399999999999999" x14ac:dyDescent="0.3">
      <c r="A11" s="10" t="s">
        <v>349</v>
      </c>
      <c r="B11" s="10" t="s">
        <v>289</v>
      </c>
      <c r="C11" s="10" t="s">
        <v>350</v>
      </c>
      <c r="D11" s="10" t="s">
        <v>35</v>
      </c>
      <c r="E11" s="10" t="s">
        <v>14</v>
      </c>
      <c r="F11" s="10" t="s">
        <v>35</v>
      </c>
      <c r="G11" s="10" t="s">
        <v>351</v>
      </c>
      <c r="H11" s="10" t="s">
        <v>380</v>
      </c>
      <c r="I11" s="10" t="s">
        <v>1174</v>
      </c>
    </row>
    <row r="12" spans="1:9" ht="17.399999999999999" x14ac:dyDescent="0.3">
      <c r="A12" s="10" t="s">
        <v>352</v>
      </c>
      <c r="B12" s="10" t="s">
        <v>222</v>
      </c>
      <c r="C12" s="10" t="s">
        <v>716</v>
      </c>
      <c r="D12" s="10" t="s">
        <v>35</v>
      </c>
      <c r="E12" s="10" t="s">
        <v>14</v>
      </c>
      <c r="F12" s="10" t="s">
        <v>35</v>
      </c>
      <c r="G12" s="10" t="s">
        <v>353</v>
      </c>
      <c r="H12" s="10" t="s">
        <v>380</v>
      </c>
      <c r="I12" s="10" t="s">
        <v>1174</v>
      </c>
    </row>
    <row r="13" spans="1:9" ht="17.399999999999999" x14ac:dyDescent="0.3">
      <c r="A13" s="10" t="s">
        <v>354</v>
      </c>
      <c r="B13" s="10" t="s">
        <v>535</v>
      </c>
      <c r="C13" s="10" t="s">
        <v>717</v>
      </c>
      <c r="D13" s="10" t="s">
        <v>14</v>
      </c>
      <c r="E13" s="10" t="s">
        <v>117</v>
      </c>
      <c r="F13" s="10" t="s">
        <v>14</v>
      </c>
      <c r="G13" s="10" t="s">
        <v>355</v>
      </c>
      <c r="H13" s="10" t="s">
        <v>380</v>
      </c>
      <c r="I13" s="10" t="s">
        <v>1174</v>
      </c>
    </row>
    <row r="14" spans="1:9" ht="17.399999999999999" x14ac:dyDescent="0.3">
      <c r="A14" s="10" t="s">
        <v>356</v>
      </c>
      <c r="B14" s="10" t="s">
        <v>209</v>
      </c>
      <c r="C14" s="10" t="s">
        <v>357</v>
      </c>
      <c r="D14" s="10" t="s">
        <v>35</v>
      </c>
      <c r="E14" s="10" t="s">
        <v>35</v>
      </c>
      <c r="F14" s="10" t="s">
        <v>35</v>
      </c>
      <c r="G14" s="10" t="s">
        <v>358</v>
      </c>
      <c r="H14" s="10" t="s">
        <v>380</v>
      </c>
      <c r="I14" s="10" t="s">
        <v>1174</v>
      </c>
    </row>
    <row r="15" spans="1:9" ht="17.399999999999999" x14ac:dyDescent="0.3">
      <c r="A15" s="10" t="s">
        <v>359</v>
      </c>
      <c r="B15" s="10" t="s">
        <v>341</v>
      </c>
      <c r="C15" s="10" t="s">
        <v>360</v>
      </c>
      <c r="D15" s="10" t="s">
        <v>35</v>
      </c>
      <c r="E15" s="10" t="s">
        <v>35</v>
      </c>
      <c r="F15" s="10" t="s">
        <v>35</v>
      </c>
      <c r="G15" s="10" t="s">
        <v>361</v>
      </c>
      <c r="H15" s="10" t="s">
        <v>380</v>
      </c>
      <c r="I15" s="10" t="s">
        <v>1174</v>
      </c>
    </row>
    <row r="16" spans="1:9" ht="17.399999999999999" x14ac:dyDescent="0.3">
      <c r="A16" s="10" t="s">
        <v>382</v>
      </c>
      <c r="B16" s="10" t="s">
        <v>209</v>
      </c>
      <c r="C16" s="10" t="s">
        <v>718</v>
      </c>
      <c r="D16" s="10" t="s">
        <v>14</v>
      </c>
      <c r="E16" s="10" t="s">
        <v>14</v>
      </c>
      <c r="F16" s="10" t="s">
        <v>214</v>
      </c>
      <c r="G16" s="10" t="s">
        <v>383</v>
      </c>
      <c r="H16" s="10" t="s">
        <v>380</v>
      </c>
      <c r="I16" s="10" t="s">
        <v>1174</v>
      </c>
    </row>
    <row r="17" spans="1:9" ht="17.399999999999999" x14ac:dyDescent="0.3">
      <c r="A17" s="10" t="s">
        <v>384</v>
      </c>
      <c r="B17" s="10" t="s">
        <v>209</v>
      </c>
      <c r="C17" s="10" t="s">
        <v>385</v>
      </c>
      <c r="D17" s="10" t="s">
        <v>14</v>
      </c>
      <c r="E17" s="10" t="s">
        <v>14</v>
      </c>
      <c r="F17" s="10" t="s">
        <v>214</v>
      </c>
      <c r="G17" s="10" t="s">
        <v>386</v>
      </c>
      <c r="H17" s="10" t="s">
        <v>380</v>
      </c>
      <c r="I17" s="10" t="s">
        <v>1174</v>
      </c>
    </row>
    <row r="18" spans="1:9" ht="17.399999999999999" x14ac:dyDescent="0.3">
      <c r="A18" s="10" t="s">
        <v>387</v>
      </c>
      <c r="B18" s="10" t="s">
        <v>209</v>
      </c>
      <c r="C18" s="10" t="s">
        <v>388</v>
      </c>
      <c r="D18" s="10" t="s">
        <v>14</v>
      </c>
      <c r="E18" s="10" t="s">
        <v>14</v>
      </c>
      <c r="F18" s="10" t="s">
        <v>214</v>
      </c>
      <c r="G18" s="10" t="s">
        <v>389</v>
      </c>
      <c r="H18" s="10" t="s">
        <v>380</v>
      </c>
      <c r="I18" s="10" t="s">
        <v>1174</v>
      </c>
    </row>
    <row r="19" spans="1:9" ht="17.399999999999999" x14ac:dyDescent="0.3">
      <c r="A19" s="10" t="s">
        <v>390</v>
      </c>
      <c r="B19" s="10" t="s">
        <v>209</v>
      </c>
      <c r="C19" s="10" t="s">
        <v>391</v>
      </c>
      <c r="D19" s="10" t="s">
        <v>14</v>
      </c>
      <c r="E19" s="10" t="s">
        <v>14</v>
      </c>
      <c r="F19" s="10" t="s">
        <v>214</v>
      </c>
      <c r="G19" s="10" t="s">
        <v>719</v>
      </c>
      <c r="H19" s="10" t="s">
        <v>380</v>
      </c>
      <c r="I19" s="10" t="s">
        <v>1174</v>
      </c>
    </row>
    <row r="20" spans="1:9" ht="17.399999999999999" x14ac:dyDescent="0.3">
      <c r="A20" s="10" t="s">
        <v>392</v>
      </c>
      <c r="B20" s="10" t="s">
        <v>289</v>
      </c>
      <c r="C20" s="10" t="s">
        <v>720</v>
      </c>
      <c r="D20" s="10" t="s">
        <v>14</v>
      </c>
      <c r="E20" s="10" t="s">
        <v>14</v>
      </c>
      <c r="F20" s="10" t="s">
        <v>214</v>
      </c>
      <c r="G20" s="10" t="s">
        <v>721</v>
      </c>
      <c r="H20" s="10" t="s">
        <v>380</v>
      </c>
      <c r="I20" s="10" t="s">
        <v>1174</v>
      </c>
    </row>
    <row r="21" spans="1:9" ht="17.399999999999999" x14ac:dyDescent="0.3">
      <c r="A21" s="10" t="s">
        <v>393</v>
      </c>
      <c r="B21" s="10" t="s">
        <v>209</v>
      </c>
      <c r="C21" s="10" t="s">
        <v>394</v>
      </c>
      <c r="D21" s="10" t="s">
        <v>14</v>
      </c>
      <c r="E21" s="10" t="s">
        <v>14</v>
      </c>
      <c r="F21" s="10" t="s">
        <v>214</v>
      </c>
      <c r="G21" s="10" t="s">
        <v>722</v>
      </c>
      <c r="H21" s="10" t="s">
        <v>380</v>
      </c>
      <c r="I21" s="10" t="s">
        <v>1174</v>
      </c>
    </row>
    <row r="22" spans="1:9" ht="17.399999999999999" x14ac:dyDescent="0.3">
      <c r="A22" s="10" t="s">
        <v>395</v>
      </c>
      <c r="B22" s="10" t="s">
        <v>289</v>
      </c>
      <c r="C22" s="10" t="s">
        <v>396</v>
      </c>
      <c r="D22" s="10" t="s">
        <v>14</v>
      </c>
      <c r="E22" s="10" t="s">
        <v>14</v>
      </c>
      <c r="F22" s="10" t="s">
        <v>214</v>
      </c>
      <c r="G22" s="10" t="s">
        <v>397</v>
      </c>
      <c r="H22" s="10" t="s">
        <v>380</v>
      </c>
      <c r="I22" s="10" t="s">
        <v>1174</v>
      </c>
    </row>
    <row r="23" spans="1:9" ht="17.399999999999999" x14ac:dyDescent="0.3">
      <c r="A23" s="10" t="s">
        <v>398</v>
      </c>
      <c r="B23" s="10" t="s">
        <v>209</v>
      </c>
      <c r="C23" s="10" t="s">
        <v>399</v>
      </c>
      <c r="D23" s="10" t="s">
        <v>14</v>
      </c>
      <c r="E23" s="10" t="s">
        <v>14</v>
      </c>
      <c r="F23" s="10" t="s">
        <v>214</v>
      </c>
      <c r="G23" s="10" t="s">
        <v>400</v>
      </c>
      <c r="H23" s="10" t="s">
        <v>380</v>
      </c>
      <c r="I23" s="10" t="s">
        <v>1174</v>
      </c>
    </row>
    <row r="24" spans="1:9" ht="17.399999999999999" x14ac:dyDescent="0.3">
      <c r="A24" s="10" t="s">
        <v>401</v>
      </c>
      <c r="B24" s="10" t="s">
        <v>209</v>
      </c>
      <c r="C24" s="10" t="s">
        <v>723</v>
      </c>
      <c r="D24" s="10" t="s">
        <v>14</v>
      </c>
      <c r="E24" s="10" t="s">
        <v>14</v>
      </c>
      <c r="F24" s="10" t="s">
        <v>214</v>
      </c>
      <c r="G24" s="10" t="s">
        <v>402</v>
      </c>
      <c r="H24" s="10" t="s">
        <v>380</v>
      </c>
      <c r="I24" s="10" t="s">
        <v>1174</v>
      </c>
    </row>
    <row r="25" spans="1:9" ht="17.399999999999999" x14ac:dyDescent="0.3">
      <c r="A25" s="10" t="s">
        <v>403</v>
      </c>
      <c r="B25" s="10" t="s">
        <v>209</v>
      </c>
      <c r="C25" s="10" t="s">
        <v>724</v>
      </c>
      <c r="D25" s="10" t="s">
        <v>14</v>
      </c>
      <c r="E25" s="10" t="s">
        <v>14</v>
      </c>
      <c r="F25" s="10" t="s">
        <v>214</v>
      </c>
      <c r="G25" s="10" t="s">
        <v>404</v>
      </c>
      <c r="H25" s="10" t="s">
        <v>380</v>
      </c>
      <c r="I25" s="10" t="s">
        <v>1174</v>
      </c>
    </row>
    <row r="26" spans="1:9" ht="17.399999999999999" x14ac:dyDescent="0.3">
      <c r="A26" s="10" t="s">
        <v>405</v>
      </c>
      <c r="B26" s="10" t="s">
        <v>209</v>
      </c>
      <c r="C26" s="10" t="s">
        <v>725</v>
      </c>
      <c r="D26" s="10" t="s">
        <v>14</v>
      </c>
      <c r="E26" s="10" t="s">
        <v>14</v>
      </c>
      <c r="F26" s="10" t="s">
        <v>214</v>
      </c>
      <c r="G26" s="10" t="s">
        <v>406</v>
      </c>
      <c r="H26" s="10" t="s">
        <v>380</v>
      </c>
      <c r="I26" s="10" t="s">
        <v>1174</v>
      </c>
    </row>
    <row r="27" spans="1:9" ht="17.399999999999999" x14ac:dyDescent="0.3">
      <c r="A27" s="10" t="s">
        <v>407</v>
      </c>
      <c r="B27" s="10" t="s">
        <v>289</v>
      </c>
      <c r="C27" s="10" t="s">
        <v>726</v>
      </c>
      <c r="D27" s="10" t="s">
        <v>14</v>
      </c>
      <c r="E27" s="10" t="s">
        <v>14</v>
      </c>
      <c r="F27" s="10" t="s">
        <v>214</v>
      </c>
      <c r="G27" s="10" t="s">
        <v>727</v>
      </c>
      <c r="H27" s="10" t="s">
        <v>380</v>
      </c>
      <c r="I27" s="10" t="s">
        <v>1174</v>
      </c>
    </row>
    <row r="28" spans="1:9" ht="17.399999999999999" x14ac:dyDescent="0.3">
      <c r="A28" s="10" t="s">
        <v>408</v>
      </c>
      <c r="B28" s="10" t="s">
        <v>289</v>
      </c>
      <c r="C28" s="10" t="s">
        <v>409</v>
      </c>
      <c r="D28" s="10" t="s">
        <v>14</v>
      </c>
      <c r="E28" s="10" t="s">
        <v>14</v>
      </c>
      <c r="F28" s="10" t="s">
        <v>214</v>
      </c>
      <c r="G28" s="10" t="s">
        <v>728</v>
      </c>
      <c r="H28" s="10" t="s">
        <v>380</v>
      </c>
      <c r="I28" s="10" t="s">
        <v>1174</v>
      </c>
    </row>
    <row r="29" spans="1:9" ht="17.399999999999999" x14ac:dyDescent="0.3">
      <c r="A29" s="10" t="s">
        <v>410</v>
      </c>
      <c r="B29" s="10" t="s">
        <v>209</v>
      </c>
      <c r="C29" s="10" t="s">
        <v>411</v>
      </c>
      <c r="D29" s="10" t="s">
        <v>14</v>
      </c>
      <c r="E29" s="10" t="s">
        <v>14</v>
      </c>
      <c r="F29" s="10" t="s">
        <v>214</v>
      </c>
      <c r="G29" s="10" t="s">
        <v>412</v>
      </c>
      <c r="H29" s="10" t="s">
        <v>380</v>
      </c>
      <c r="I29" s="10" t="s">
        <v>1174</v>
      </c>
    </row>
    <row r="30" spans="1:9" ht="17.399999999999999" x14ac:dyDescent="0.3">
      <c r="A30" s="10" t="s">
        <v>413</v>
      </c>
      <c r="B30" s="10" t="s">
        <v>209</v>
      </c>
      <c r="C30" s="10" t="s">
        <v>729</v>
      </c>
      <c r="D30" s="10" t="s">
        <v>14</v>
      </c>
      <c r="E30" s="10" t="s">
        <v>14</v>
      </c>
      <c r="F30" s="10" t="s">
        <v>214</v>
      </c>
      <c r="G30" s="10" t="s">
        <v>414</v>
      </c>
      <c r="H30" s="10" t="s">
        <v>380</v>
      </c>
      <c r="I30" s="10" t="s">
        <v>1174</v>
      </c>
    </row>
    <row r="31" spans="1:9" ht="17.399999999999999" x14ac:dyDescent="0.3">
      <c r="A31" s="10" t="s">
        <v>415</v>
      </c>
      <c r="B31" s="10" t="s">
        <v>209</v>
      </c>
      <c r="C31" s="10" t="s">
        <v>730</v>
      </c>
      <c r="D31" s="10" t="s">
        <v>14</v>
      </c>
      <c r="E31" s="10" t="s">
        <v>14</v>
      </c>
      <c r="F31" s="10" t="s">
        <v>214</v>
      </c>
      <c r="G31" s="10" t="s">
        <v>731</v>
      </c>
      <c r="H31" s="10" t="s">
        <v>380</v>
      </c>
      <c r="I31" s="10" t="s">
        <v>1174</v>
      </c>
    </row>
    <row r="32" spans="1:9" ht="17.399999999999999" x14ac:dyDescent="0.3">
      <c r="A32" s="10" t="s">
        <v>416</v>
      </c>
      <c r="B32" s="10" t="s">
        <v>209</v>
      </c>
      <c r="C32" s="10" t="s">
        <v>417</v>
      </c>
      <c r="D32" s="10" t="s">
        <v>14</v>
      </c>
      <c r="E32" s="10" t="s">
        <v>14</v>
      </c>
      <c r="F32" s="10" t="s">
        <v>214</v>
      </c>
      <c r="G32" s="10" t="s">
        <v>732</v>
      </c>
      <c r="H32" s="10" t="s">
        <v>380</v>
      </c>
      <c r="I32" s="10" t="s">
        <v>1174</v>
      </c>
    </row>
    <row r="33" spans="1:9" ht="17.399999999999999" x14ac:dyDescent="0.3">
      <c r="A33" s="10" t="s">
        <v>418</v>
      </c>
      <c r="B33" s="10" t="s">
        <v>419</v>
      </c>
      <c r="C33" s="10" t="s">
        <v>420</v>
      </c>
      <c r="D33" s="10" t="s">
        <v>14</v>
      </c>
      <c r="E33" s="10" t="s">
        <v>14</v>
      </c>
      <c r="F33" s="10" t="s">
        <v>214</v>
      </c>
      <c r="G33" s="10" t="s">
        <v>733</v>
      </c>
      <c r="H33" s="10" t="s">
        <v>380</v>
      </c>
      <c r="I33" s="10" t="s">
        <v>1174</v>
      </c>
    </row>
    <row r="34" spans="1:9" ht="17.399999999999999" x14ac:dyDescent="0.3">
      <c r="A34" s="10" t="s">
        <v>421</v>
      </c>
      <c r="B34" s="10" t="s">
        <v>209</v>
      </c>
      <c r="C34" s="10" t="s">
        <v>422</v>
      </c>
      <c r="D34" s="10" t="s">
        <v>14</v>
      </c>
      <c r="E34" s="10" t="s">
        <v>14</v>
      </c>
      <c r="F34" s="10" t="s">
        <v>214</v>
      </c>
      <c r="G34" s="10" t="s">
        <v>734</v>
      </c>
      <c r="H34" s="10" t="s">
        <v>380</v>
      </c>
      <c r="I34" s="10" t="s">
        <v>1174</v>
      </c>
    </row>
    <row r="35" spans="1:9" ht="17.399999999999999" x14ac:dyDescent="0.3">
      <c r="A35" s="10" t="s">
        <v>423</v>
      </c>
      <c r="B35" s="10" t="s">
        <v>209</v>
      </c>
      <c r="C35" s="10" t="s">
        <v>424</v>
      </c>
      <c r="D35" s="10" t="s">
        <v>14</v>
      </c>
      <c r="E35" s="10" t="s">
        <v>14</v>
      </c>
      <c r="F35" s="10" t="s">
        <v>214</v>
      </c>
      <c r="G35" s="10" t="s">
        <v>425</v>
      </c>
      <c r="H35" s="10" t="s">
        <v>380</v>
      </c>
      <c r="I35" s="10" t="s">
        <v>1174</v>
      </c>
    </row>
    <row r="36" spans="1:9" ht="17.399999999999999" x14ac:dyDescent="0.3">
      <c r="A36" s="10" t="s">
        <v>426</v>
      </c>
      <c r="B36" s="10" t="s">
        <v>209</v>
      </c>
      <c r="C36" s="10" t="s">
        <v>427</v>
      </c>
      <c r="D36" s="10" t="s">
        <v>14</v>
      </c>
      <c r="E36" s="10" t="s">
        <v>14</v>
      </c>
      <c r="F36" s="10" t="s">
        <v>214</v>
      </c>
      <c r="G36" s="10" t="s">
        <v>735</v>
      </c>
      <c r="H36" s="10" t="s">
        <v>380</v>
      </c>
      <c r="I36" s="10" t="s">
        <v>1174</v>
      </c>
    </row>
    <row r="37" spans="1:9" ht="17.399999999999999" x14ac:dyDescent="0.3">
      <c r="A37" s="10" t="s">
        <v>428</v>
      </c>
      <c r="B37" s="10" t="s">
        <v>209</v>
      </c>
      <c r="C37" s="10" t="s">
        <v>429</v>
      </c>
      <c r="D37" s="10" t="s">
        <v>14</v>
      </c>
      <c r="E37" s="10" t="s">
        <v>14</v>
      </c>
      <c r="F37" s="10" t="s">
        <v>214</v>
      </c>
      <c r="G37" s="10" t="s">
        <v>736</v>
      </c>
      <c r="H37" s="10" t="s">
        <v>380</v>
      </c>
      <c r="I37" s="10" t="s">
        <v>1174</v>
      </c>
    </row>
    <row r="38" spans="1:9" ht="17.399999999999999" x14ac:dyDescent="0.3">
      <c r="A38" s="10" t="s">
        <v>430</v>
      </c>
      <c r="B38" s="10" t="s">
        <v>209</v>
      </c>
      <c r="C38" s="10" t="s">
        <v>737</v>
      </c>
      <c r="D38" s="10" t="s">
        <v>14</v>
      </c>
      <c r="E38" s="10" t="s">
        <v>14</v>
      </c>
      <c r="F38" s="10" t="s">
        <v>14</v>
      </c>
      <c r="G38" s="10" t="s">
        <v>738</v>
      </c>
      <c r="H38" s="10" t="s">
        <v>380</v>
      </c>
      <c r="I38" s="10" t="s">
        <v>1174</v>
      </c>
    </row>
    <row r="39" spans="1:9" ht="17.399999999999999" x14ac:dyDescent="0.3">
      <c r="A39" s="10" t="s">
        <v>431</v>
      </c>
      <c r="B39" s="10" t="s">
        <v>209</v>
      </c>
      <c r="C39" s="10" t="s">
        <v>739</v>
      </c>
      <c r="D39" s="10" t="s">
        <v>14</v>
      </c>
      <c r="E39" s="10" t="s">
        <v>14</v>
      </c>
      <c r="F39" s="10" t="s">
        <v>14</v>
      </c>
      <c r="G39" s="10" t="s">
        <v>740</v>
      </c>
      <c r="H39" s="10" t="s">
        <v>380</v>
      </c>
      <c r="I39" s="10" t="s">
        <v>1174</v>
      </c>
    </row>
    <row r="40" spans="1:9" ht="17.399999999999999" x14ac:dyDescent="0.3">
      <c r="A40" s="10" t="s">
        <v>432</v>
      </c>
      <c r="B40" s="10" t="s">
        <v>335</v>
      </c>
      <c r="C40" s="10" t="s">
        <v>433</v>
      </c>
      <c r="D40" s="10" t="s">
        <v>14</v>
      </c>
      <c r="E40" s="10" t="s">
        <v>14</v>
      </c>
      <c r="F40" s="10" t="s">
        <v>14</v>
      </c>
      <c r="G40" s="10" t="s">
        <v>434</v>
      </c>
      <c r="H40" s="10" t="s">
        <v>380</v>
      </c>
      <c r="I40" s="10" t="s">
        <v>1174</v>
      </c>
    </row>
    <row r="41" spans="1:9" ht="17.399999999999999" x14ac:dyDescent="0.3">
      <c r="A41" s="10" t="s">
        <v>435</v>
      </c>
      <c r="B41" s="10" t="s">
        <v>289</v>
      </c>
      <c r="C41" s="10" t="s">
        <v>741</v>
      </c>
      <c r="D41" s="10" t="s">
        <v>14</v>
      </c>
      <c r="E41" s="10" t="s">
        <v>14</v>
      </c>
      <c r="F41" s="10" t="s">
        <v>14</v>
      </c>
      <c r="G41" s="10" t="s">
        <v>742</v>
      </c>
      <c r="H41" s="10" t="s">
        <v>380</v>
      </c>
      <c r="I41" s="10" t="s">
        <v>1174</v>
      </c>
    </row>
    <row r="42" spans="1:9" ht="17.399999999999999" x14ac:dyDescent="0.3">
      <c r="A42" s="10" t="s">
        <v>436</v>
      </c>
      <c r="B42" s="10" t="s">
        <v>346</v>
      </c>
      <c r="C42" s="10" t="s">
        <v>743</v>
      </c>
      <c r="D42" s="10" t="s">
        <v>14</v>
      </c>
      <c r="E42" s="10" t="s">
        <v>14</v>
      </c>
      <c r="F42" s="10" t="s">
        <v>14</v>
      </c>
      <c r="G42" s="10" t="s">
        <v>437</v>
      </c>
      <c r="H42" s="10" t="s">
        <v>380</v>
      </c>
      <c r="I42" s="10" t="s">
        <v>1174</v>
      </c>
    </row>
    <row r="43" spans="1:9" ht="17.399999999999999" x14ac:dyDescent="0.3">
      <c r="A43" s="10" t="s">
        <v>438</v>
      </c>
      <c r="B43" s="10" t="s">
        <v>289</v>
      </c>
      <c r="C43" s="10" t="s">
        <v>536</v>
      </c>
      <c r="D43" s="10" t="s">
        <v>14</v>
      </c>
      <c r="E43" s="10" t="s">
        <v>14</v>
      </c>
      <c r="F43" s="10" t="s">
        <v>14</v>
      </c>
      <c r="G43" s="10" t="s">
        <v>537</v>
      </c>
      <c r="H43" s="10" t="s">
        <v>380</v>
      </c>
      <c r="I43" s="10" t="s">
        <v>1174</v>
      </c>
    </row>
    <row r="44" spans="1:9" ht="17.399999999999999" x14ac:dyDescent="0.3">
      <c r="A44" s="10" t="s">
        <v>439</v>
      </c>
      <c r="B44" s="10" t="s">
        <v>289</v>
      </c>
      <c r="C44" s="10" t="s">
        <v>538</v>
      </c>
      <c r="D44" s="10" t="s">
        <v>14</v>
      </c>
      <c r="E44" s="10" t="s">
        <v>14</v>
      </c>
      <c r="F44" s="10" t="s">
        <v>14</v>
      </c>
      <c r="G44" s="10" t="s">
        <v>539</v>
      </c>
      <c r="H44" s="10" t="s">
        <v>380</v>
      </c>
      <c r="I44" s="10" t="s">
        <v>1174</v>
      </c>
    </row>
    <row r="45" spans="1:9" ht="17.399999999999999" x14ac:dyDescent="0.3">
      <c r="A45" s="10" t="s">
        <v>440</v>
      </c>
      <c r="B45" s="10" t="s">
        <v>209</v>
      </c>
      <c r="C45" s="10" t="s">
        <v>540</v>
      </c>
      <c r="D45" s="10" t="s">
        <v>14</v>
      </c>
      <c r="E45" s="10" t="s">
        <v>14</v>
      </c>
      <c r="F45" s="10" t="s">
        <v>14</v>
      </c>
      <c r="G45" s="10" t="s">
        <v>541</v>
      </c>
      <c r="H45" s="10" t="s">
        <v>380</v>
      </c>
      <c r="I45" s="10" t="s">
        <v>1174</v>
      </c>
    </row>
    <row r="46" spans="1:9" ht="17.399999999999999" x14ac:dyDescent="0.3">
      <c r="A46" s="10" t="s">
        <v>441</v>
      </c>
      <c r="B46" s="10" t="s">
        <v>289</v>
      </c>
      <c r="C46" s="10" t="s">
        <v>542</v>
      </c>
      <c r="D46" s="10" t="s">
        <v>14</v>
      </c>
      <c r="E46" s="10" t="s">
        <v>14</v>
      </c>
      <c r="F46" s="10" t="s">
        <v>14</v>
      </c>
      <c r="G46" s="10" t="s">
        <v>543</v>
      </c>
      <c r="H46" s="10" t="s">
        <v>1177</v>
      </c>
      <c r="I46" s="10" t="s">
        <v>1174</v>
      </c>
    </row>
    <row r="47" spans="1:9" ht="17.399999999999999" x14ac:dyDescent="0.3">
      <c r="A47" s="10" t="s">
        <v>442</v>
      </c>
      <c r="B47" s="10" t="s">
        <v>289</v>
      </c>
      <c r="C47" s="10" t="s">
        <v>544</v>
      </c>
      <c r="D47" s="10" t="s">
        <v>14</v>
      </c>
      <c r="E47" s="10" t="s">
        <v>14</v>
      </c>
      <c r="F47" s="10" t="s">
        <v>14</v>
      </c>
      <c r="G47" s="10" t="s">
        <v>545</v>
      </c>
      <c r="H47" s="10" t="s">
        <v>1177</v>
      </c>
      <c r="I47" s="10" t="s">
        <v>1174</v>
      </c>
    </row>
    <row r="48" spans="1:9" ht="17.399999999999999" x14ac:dyDescent="0.3">
      <c r="A48" s="10" t="s">
        <v>443</v>
      </c>
      <c r="B48" s="10" t="s">
        <v>335</v>
      </c>
      <c r="C48" s="10" t="s">
        <v>546</v>
      </c>
      <c r="D48" s="10" t="s">
        <v>14</v>
      </c>
      <c r="E48" s="10" t="s">
        <v>14</v>
      </c>
      <c r="F48" s="10" t="s">
        <v>14</v>
      </c>
      <c r="G48" s="10" t="s">
        <v>547</v>
      </c>
      <c r="H48" s="10" t="s">
        <v>1177</v>
      </c>
      <c r="I48" s="10" t="s">
        <v>1174</v>
      </c>
    </row>
    <row r="49" spans="1:9" ht="17.399999999999999" x14ac:dyDescent="0.3">
      <c r="A49" s="10" t="s">
        <v>444</v>
      </c>
      <c r="B49" s="10" t="s">
        <v>289</v>
      </c>
      <c r="C49" s="10" t="s">
        <v>548</v>
      </c>
      <c r="D49" s="10" t="s">
        <v>14</v>
      </c>
      <c r="E49" s="10" t="s">
        <v>14</v>
      </c>
      <c r="F49" s="10" t="s">
        <v>14</v>
      </c>
      <c r="G49" s="10" t="s">
        <v>549</v>
      </c>
      <c r="H49" s="10" t="s">
        <v>1177</v>
      </c>
      <c r="I49" s="10" t="s">
        <v>1174</v>
      </c>
    </row>
    <row r="50" spans="1:9" ht="17.399999999999999" x14ac:dyDescent="0.3">
      <c r="A50" s="10" t="s">
        <v>445</v>
      </c>
      <c r="B50" s="10" t="s">
        <v>289</v>
      </c>
      <c r="C50" s="10" t="s">
        <v>550</v>
      </c>
      <c r="D50" s="10" t="s">
        <v>14</v>
      </c>
      <c r="E50" s="10" t="s">
        <v>14</v>
      </c>
      <c r="F50" s="10" t="s">
        <v>14</v>
      </c>
      <c r="G50" s="10" t="s">
        <v>551</v>
      </c>
      <c r="H50" s="10" t="s">
        <v>1177</v>
      </c>
      <c r="I50" s="10" t="s">
        <v>1174</v>
      </c>
    </row>
    <row r="51" spans="1:9" ht="17.399999999999999" x14ac:dyDescent="0.3">
      <c r="A51" s="10" t="s">
        <v>446</v>
      </c>
      <c r="B51" s="10" t="s">
        <v>289</v>
      </c>
      <c r="C51" s="10" t="s">
        <v>552</v>
      </c>
      <c r="D51" s="10" t="s">
        <v>14</v>
      </c>
      <c r="E51" s="10" t="s">
        <v>14</v>
      </c>
      <c r="F51" s="10" t="s">
        <v>14</v>
      </c>
      <c r="G51" s="10" t="s">
        <v>553</v>
      </c>
      <c r="H51" s="10" t="s">
        <v>1177</v>
      </c>
      <c r="I51" s="10" t="s">
        <v>1174</v>
      </c>
    </row>
    <row r="52" spans="1:9" ht="17.399999999999999" x14ac:dyDescent="0.3">
      <c r="A52" s="10" t="s">
        <v>447</v>
      </c>
      <c r="B52" s="10" t="s">
        <v>222</v>
      </c>
      <c r="C52" s="10" t="s">
        <v>554</v>
      </c>
      <c r="D52" s="10" t="s">
        <v>14</v>
      </c>
      <c r="E52" s="10" t="s">
        <v>14</v>
      </c>
      <c r="F52" s="10" t="s">
        <v>14</v>
      </c>
      <c r="G52" s="10" t="s">
        <v>555</v>
      </c>
      <c r="H52" s="10" t="s">
        <v>1177</v>
      </c>
      <c r="I52" s="10" t="s">
        <v>1174</v>
      </c>
    </row>
    <row r="53" spans="1:9" ht="17.399999999999999" x14ac:dyDescent="0.3">
      <c r="A53" s="10" t="s">
        <v>448</v>
      </c>
      <c r="B53" s="10" t="s">
        <v>209</v>
      </c>
      <c r="C53" s="10" t="s">
        <v>556</v>
      </c>
      <c r="D53" s="10" t="s">
        <v>14</v>
      </c>
      <c r="E53" s="10" t="s">
        <v>14</v>
      </c>
      <c r="F53" s="10" t="s">
        <v>14</v>
      </c>
      <c r="G53" s="10" t="s">
        <v>557</v>
      </c>
      <c r="H53" s="10" t="s">
        <v>1177</v>
      </c>
      <c r="I53" s="10" t="s">
        <v>1174</v>
      </c>
    </row>
    <row r="54" spans="1:9" ht="17.399999999999999" x14ac:dyDescent="0.3">
      <c r="A54" s="10" t="s">
        <v>449</v>
      </c>
      <c r="B54" s="10" t="s">
        <v>289</v>
      </c>
      <c r="C54" s="10" t="s">
        <v>558</v>
      </c>
      <c r="D54" s="10" t="s">
        <v>14</v>
      </c>
      <c r="E54" s="10" t="s">
        <v>14</v>
      </c>
      <c r="F54" s="10" t="s">
        <v>14</v>
      </c>
      <c r="G54" s="10" t="s">
        <v>559</v>
      </c>
      <c r="H54" s="10" t="s">
        <v>1177</v>
      </c>
      <c r="I54" s="10" t="s">
        <v>1174</v>
      </c>
    </row>
    <row r="55" spans="1:9" ht="17.399999999999999" x14ac:dyDescent="0.3">
      <c r="A55" s="10" t="s">
        <v>450</v>
      </c>
      <c r="B55" s="10" t="s">
        <v>335</v>
      </c>
      <c r="C55" s="10" t="s">
        <v>560</v>
      </c>
      <c r="D55" s="10" t="s">
        <v>14</v>
      </c>
      <c r="E55" s="10" t="s">
        <v>14</v>
      </c>
      <c r="F55" s="10" t="s">
        <v>14</v>
      </c>
      <c r="G55" s="10" t="s">
        <v>561</v>
      </c>
      <c r="H55" s="10" t="s">
        <v>1177</v>
      </c>
      <c r="I55" s="10" t="s">
        <v>1174</v>
      </c>
    </row>
    <row r="56" spans="1:9" ht="17.399999999999999" x14ac:dyDescent="0.3">
      <c r="A56" s="10" t="s">
        <v>451</v>
      </c>
      <c r="B56" s="10" t="s">
        <v>222</v>
      </c>
      <c r="C56" s="10" t="s">
        <v>562</v>
      </c>
      <c r="D56" s="10" t="s">
        <v>14</v>
      </c>
      <c r="E56" s="10" t="s">
        <v>14</v>
      </c>
      <c r="F56" s="10" t="s">
        <v>14</v>
      </c>
      <c r="G56" s="10" t="s">
        <v>563</v>
      </c>
      <c r="H56" s="10" t="s">
        <v>1177</v>
      </c>
      <c r="I56" s="10" t="s">
        <v>1174</v>
      </c>
    </row>
    <row r="57" spans="1:9" ht="17.399999999999999" x14ac:dyDescent="0.3">
      <c r="A57" s="10" t="s">
        <v>452</v>
      </c>
      <c r="B57" s="10" t="s">
        <v>335</v>
      </c>
      <c r="C57" s="10" t="s">
        <v>564</v>
      </c>
      <c r="D57" s="10" t="s">
        <v>14</v>
      </c>
      <c r="E57" s="10" t="s">
        <v>14</v>
      </c>
      <c r="F57" s="10" t="s">
        <v>14</v>
      </c>
      <c r="G57" s="10" t="s">
        <v>565</v>
      </c>
      <c r="H57" s="10" t="s">
        <v>1177</v>
      </c>
      <c r="I57" s="10" t="s">
        <v>1174</v>
      </c>
    </row>
    <row r="58" spans="1:9" ht="17.399999999999999" x14ac:dyDescent="0.3">
      <c r="A58" s="10" t="s">
        <v>453</v>
      </c>
      <c r="B58" s="10" t="s">
        <v>289</v>
      </c>
      <c r="C58" s="10" t="s">
        <v>566</v>
      </c>
      <c r="D58" s="10" t="s">
        <v>14</v>
      </c>
      <c r="E58" s="10" t="s">
        <v>14</v>
      </c>
      <c r="F58" s="10" t="s">
        <v>14</v>
      </c>
      <c r="G58" s="10" t="s">
        <v>567</v>
      </c>
      <c r="H58" s="10" t="s">
        <v>1177</v>
      </c>
      <c r="I58" s="10" t="s">
        <v>1174</v>
      </c>
    </row>
    <row r="59" spans="1:9" ht="17.399999999999999" x14ac:dyDescent="0.3">
      <c r="A59" s="10" t="s">
        <v>454</v>
      </c>
      <c r="B59" s="10" t="s">
        <v>346</v>
      </c>
      <c r="C59" s="10" t="s">
        <v>568</v>
      </c>
      <c r="D59" s="10" t="s">
        <v>14</v>
      </c>
      <c r="E59" s="10" t="s">
        <v>14</v>
      </c>
      <c r="F59" s="10" t="s">
        <v>14</v>
      </c>
      <c r="G59" s="10" t="s">
        <v>569</v>
      </c>
      <c r="H59" s="10" t="s">
        <v>1177</v>
      </c>
      <c r="I59" s="10" t="s">
        <v>1174</v>
      </c>
    </row>
    <row r="60" spans="1:9" ht="17.399999999999999" x14ac:dyDescent="0.3">
      <c r="A60" s="10" t="s">
        <v>455</v>
      </c>
      <c r="B60" s="10" t="s">
        <v>289</v>
      </c>
      <c r="C60" s="10" t="s">
        <v>570</v>
      </c>
      <c r="D60" s="10" t="s">
        <v>14</v>
      </c>
      <c r="E60" s="10" t="s">
        <v>14</v>
      </c>
      <c r="F60" s="10" t="s">
        <v>14</v>
      </c>
      <c r="G60" s="10" t="s">
        <v>571</v>
      </c>
      <c r="H60" s="10" t="s">
        <v>1177</v>
      </c>
      <c r="I60" s="10" t="s">
        <v>1174</v>
      </c>
    </row>
    <row r="61" spans="1:9" ht="17.399999999999999" x14ac:dyDescent="0.3">
      <c r="A61" s="10" t="s">
        <v>456</v>
      </c>
      <c r="B61" s="10" t="s">
        <v>346</v>
      </c>
      <c r="C61" s="10" t="s">
        <v>572</v>
      </c>
      <c r="D61" s="10" t="s">
        <v>35</v>
      </c>
      <c r="E61" s="10" t="s">
        <v>14</v>
      </c>
      <c r="F61" s="10" t="s">
        <v>35</v>
      </c>
      <c r="G61" s="10" t="s">
        <v>573</v>
      </c>
      <c r="H61" s="10" t="s">
        <v>1177</v>
      </c>
      <c r="I61" s="10" t="s">
        <v>1174</v>
      </c>
    </row>
    <row r="62" spans="1:9" ht="17.399999999999999" x14ac:dyDescent="0.3">
      <c r="A62" s="10" t="s">
        <v>457</v>
      </c>
      <c r="B62" s="10" t="s">
        <v>346</v>
      </c>
      <c r="C62" s="10" t="s">
        <v>574</v>
      </c>
      <c r="D62" s="10" t="s">
        <v>35</v>
      </c>
      <c r="E62" s="10" t="s">
        <v>14</v>
      </c>
      <c r="F62" s="10" t="s">
        <v>35</v>
      </c>
      <c r="G62" s="10" t="s">
        <v>575</v>
      </c>
      <c r="H62" s="10" t="s">
        <v>1177</v>
      </c>
      <c r="I62" s="10" t="s">
        <v>1174</v>
      </c>
    </row>
    <row r="63" spans="1:9" ht="17.399999999999999" x14ac:dyDescent="0.3">
      <c r="A63" s="10" t="s">
        <v>458</v>
      </c>
      <c r="B63" s="10" t="s">
        <v>346</v>
      </c>
      <c r="C63" s="10" t="s">
        <v>576</v>
      </c>
      <c r="D63" s="10" t="s">
        <v>35</v>
      </c>
      <c r="E63" s="10" t="s">
        <v>14</v>
      </c>
      <c r="F63" s="10" t="s">
        <v>35</v>
      </c>
      <c r="G63" s="10" t="s">
        <v>577</v>
      </c>
      <c r="H63" s="10" t="s">
        <v>1177</v>
      </c>
      <c r="I63" s="10" t="s">
        <v>1174</v>
      </c>
    </row>
    <row r="64" spans="1:9" ht="17.399999999999999" x14ac:dyDescent="0.3">
      <c r="A64" s="10" t="s">
        <v>459</v>
      </c>
      <c r="B64" s="10" t="s">
        <v>335</v>
      </c>
      <c r="C64" s="10" t="s">
        <v>578</v>
      </c>
      <c r="D64" s="10" t="s">
        <v>35</v>
      </c>
      <c r="E64" s="10" t="s">
        <v>14</v>
      </c>
      <c r="F64" s="10" t="s">
        <v>35</v>
      </c>
      <c r="G64" s="10" t="s">
        <v>579</v>
      </c>
      <c r="H64" s="10" t="s">
        <v>1177</v>
      </c>
      <c r="I64" s="10" t="s">
        <v>1174</v>
      </c>
    </row>
    <row r="65" spans="1:9" ht="17.399999999999999" x14ac:dyDescent="0.3">
      <c r="A65" s="10" t="s">
        <v>460</v>
      </c>
      <c r="B65" s="10" t="s">
        <v>289</v>
      </c>
      <c r="C65" s="10" t="s">
        <v>580</v>
      </c>
      <c r="D65" s="10" t="s">
        <v>35</v>
      </c>
      <c r="E65" s="10" t="s">
        <v>14</v>
      </c>
      <c r="F65" s="10" t="s">
        <v>35</v>
      </c>
      <c r="G65" s="10" t="s">
        <v>581</v>
      </c>
      <c r="H65" s="10" t="s">
        <v>1177</v>
      </c>
      <c r="I65" s="10" t="s">
        <v>1174</v>
      </c>
    </row>
    <row r="66" spans="1:9" ht="17.399999999999999" x14ac:dyDescent="0.3">
      <c r="A66" s="10" t="s">
        <v>461</v>
      </c>
      <c r="B66" s="10" t="s">
        <v>346</v>
      </c>
      <c r="C66" s="10" t="s">
        <v>582</v>
      </c>
      <c r="D66" s="10" t="s">
        <v>35</v>
      </c>
      <c r="E66" s="10" t="s">
        <v>14</v>
      </c>
      <c r="F66" s="10" t="s">
        <v>35</v>
      </c>
      <c r="G66" s="10" t="s">
        <v>583</v>
      </c>
      <c r="H66" s="10" t="s">
        <v>1177</v>
      </c>
      <c r="I66" s="10" t="s">
        <v>1174</v>
      </c>
    </row>
    <row r="67" spans="1:9" ht="17.399999999999999" x14ac:dyDescent="0.3">
      <c r="A67" s="10" t="s">
        <v>462</v>
      </c>
      <c r="B67" s="10" t="s">
        <v>463</v>
      </c>
      <c r="C67" s="10" t="s">
        <v>584</v>
      </c>
      <c r="D67" s="10" t="s">
        <v>35</v>
      </c>
      <c r="E67" s="10" t="s">
        <v>14</v>
      </c>
      <c r="F67" s="10" t="s">
        <v>35</v>
      </c>
      <c r="G67" s="10" t="s">
        <v>585</v>
      </c>
      <c r="H67" s="10" t="s">
        <v>1177</v>
      </c>
      <c r="I67" s="10" t="s">
        <v>1174</v>
      </c>
    </row>
    <row r="68" spans="1:9" ht="17.399999999999999" x14ac:dyDescent="0.3">
      <c r="A68" s="10" t="s">
        <v>464</v>
      </c>
      <c r="B68" s="10" t="s">
        <v>465</v>
      </c>
      <c r="C68" s="10" t="s">
        <v>586</v>
      </c>
      <c r="D68" s="10" t="s">
        <v>35</v>
      </c>
      <c r="E68" s="10" t="s">
        <v>14</v>
      </c>
      <c r="F68" s="10" t="s">
        <v>35</v>
      </c>
      <c r="G68" s="10" t="s">
        <v>587</v>
      </c>
      <c r="H68" s="10" t="s">
        <v>1177</v>
      </c>
      <c r="I68" s="10" t="s">
        <v>1174</v>
      </c>
    </row>
    <row r="69" spans="1:9" ht="17.399999999999999" x14ac:dyDescent="0.3">
      <c r="A69" s="10" t="s">
        <v>466</v>
      </c>
      <c r="B69" s="10" t="s">
        <v>346</v>
      </c>
      <c r="C69" s="10" t="s">
        <v>588</v>
      </c>
      <c r="D69" s="10" t="s">
        <v>35</v>
      </c>
      <c r="E69" s="10" t="s">
        <v>14</v>
      </c>
      <c r="F69" s="10" t="s">
        <v>35</v>
      </c>
      <c r="G69" s="10" t="s">
        <v>589</v>
      </c>
      <c r="H69" s="10" t="s">
        <v>1177</v>
      </c>
      <c r="I69" s="10" t="s">
        <v>1174</v>
      </c>
    </row>
    <row r="70" spans="1:9" ht="17.399999999999999" x14ac:dyDescent="0.3">
      <c r="A70" s="10" t="s">
        <v>467</v>
      </c>
      <c r="B70" s="10" t="s">
        <v>346</v>
      </c>
      <c r="C70" s="10" t="s">
        <v>590</v>
      </c>
      <c r="D70" s="10" t="s">
        <v>35</v>
      </c>
      <c r="E70" s="10" t="s">
        <v>14</v>
      </c>
      <c r="F70" s="10" t="s">
        <v>35</v>
      </c>
      <c r="G70" s="10" t="s">
        <v>591</v>
      </c>
      <c r="H70" s="10" t="s">
        <v>1177</v>
      </c>
      <c r="I70" s="10" t="s">
        <v>1174</v>
      </c>
    </row>
    <row r="71" spans="1:9" ht="17.399999999999999" x14ac:dyDescent="0.3">
      <c r="A71" s="10" t="s">
        <v>468</v>
      </c>
      <c r="B71" s="10" t="s">
        <v>346</v>
      </c>
      <c r="C71" s="10" t="s">
        <v>592</v>
      </c>
      <c r="D71" s="10" t="s">
        <v>35</v>
      </c>
      <c r="E71" s="10" t="s">
        <v>14</v>
      </c>
      <c r="F71" s="10" t="s">
        <v>35</v>
      </c>
      <c r="G71" s="10" t="s">
        <v>593</v>
      </c>
      <c r="H71" s="10" t="s">
        <v>1177</v>
      </c>
      <c r="I71" s="10" t="s">
        <v>1174</v>
      </c>
    </row>
    <row r="72" spans="1:9" ht="17.399999999999999" x14ac:dyDescent="0.3">
      <c r="A72" s="10" t="s">
        <v>469</v>
      </c>
      <c r="B72" s="10" t="s">
        <v>346</v>
      </c>
      <c r="C72" s="10" t="s">
        <v>594</v>
      </c>
      <c r="D72" s="10" t="s">
        <v>35</v>
      </c>
      <c r="E72" s="10" t="s">
        <v>14</v>
      </c>
      <c r="F72" s="10" t="s">
        <v>35</v>
      </c>
      <c r="G72" s="10" t="s">
        <v>595</v>
      </c>
      <c r="H72" s="10" t="s">
        <v>1177</v>
      </c>
      <c r="I72" s="10" t="s">
        <v>1174</v>
      </c>
    </row>
    <row r="73" spans="1:9" ht="17.399999999999999" x14ac:dyDescent="0.3">
      <c r="A73" s="10" t="s">
        <v>470</v>
      </c>
      <c r="B73" s="10" t="s">
        <v>209</v>
      </c>
      <c r="C73" s="10" t="s">
        <v>596</v>
      </c>
      <c r="D73" s="10" t="s">
        <v>35</v>
      </c>
      <c r="E73" s="10" t="s">
        <v>14</v>
      </c>
      <c r="F73" s="10" t="s">
        <v>35</v>
      </c>
      <c r="G73" s="10" t="s">
        <v>597</v>
      </c>
      <c r="H73" s="10" t="s">
        <v>1177</v>
      </c>
      <c r="I73" s="10" t="s">
        <v>1174</v>
      </c>
    </row>
    <row r="74" spans="1:9" ht="17.399999999999999" x14ac:dyDescent="0.3">
      <c r="A74" s="10" t="s">
        <v>471</v>
      </c>
      <c r="B74" s="10" t="s">
        <v>335</v>
      </c>
      <c r="C74" s="10" t="s">
        <v>598</v>
      </c>
      <c r="D74" s="10" t="s">
        <v>35</v>
      </c>
      <c r="E74" s="10" t="s">
        <v>14</v>
      </c>
      <c r="F74" s="10" t="s">
        <v>35</v>
      </c>
      <c r="G74" s="10" t="s">
        <v>599</v>
      </c>
      <c r="H74" s="10" t="s">
        <v>1177</v>
      </c>
      <c r="I74" s="10" t="s">
        <v>1174</v>
      </c>
    </row>
    <row r="75" spans="1:9" ht="17.399999999999999" x14ac:dyDescent="0.3">
      <c r="A75" s="10" t="s">
        <v>472</v>
      </c>
      <c r="B75" s="10" t="s">
        <v>289</v>
      </c>
      <c r="C75" s="10" t="s">
        <v>600</v>
      </c>
      <c r="D75" s="10" t="s">
        <v>35</v>
      </c>
      <c r="E75" s="10" t="s">
        <v>14</v>
      </c>
      <c r="F75" s="10" t="s">
        <v>35</v>
      </c>
      <c r="G75" s="10" t="s">
        <v>601</v>
      </c>
      <c r="H75" s="10" t="s">
        <v>1177</v>
      </c>
      <c r="I75" s="10" t="s">
        <v>1174</v>
      </c>
    </row>
    <row r="76" spans="1:9" ht="17.399999999999999" x14ac:dyDescent="0.3">
      <c r="A76" s="10" t="s">
        <v>473</v>
      </c>
      <c r="B76" s="10" t="s">
        <v>289</v>
      </c>
      <c r="C76" s="10" t="s">
        <v>602</v>
      </c>
      <c r="D76" s="10" t="s">
        <v>35</v>
      </c>
      <c r="E76" s="10" t="s">
        <v>14</v>
      </c>
      <c r="F76" s="10" t="s">
        <v>35</v>
      </c>
      <c r="G76" s="10" t="s">
        <v>603</v>
      </c>
      <c r="H76" s="10" t="s">
        <v>1177</v>
      </c>
      <c r="I76" s="10" t="s">
        <v>1174</v>
      </c>
    </row>
    <row r="77" spans="1:9" ht="17.399999999999999" x14ac:dyDescent="0.3">
      <c r="A77" s="10" t="s">
        <v>474</v>
      </c>
      <c r="B77" s="10" t="s">
        <v>289</v>
      </c>
      <c r="C77" s="10" t="s">
        <v>604</v>
      </c>
      <c r="D77" s="10" t="s">
        <v>35</v>
      </c>
      <c r="E77" s="10" t="s">
        <v>14</v>
      </c>
      <c r="F77" s="10" t="s">
        <v>35</v>
      </c>
      <c r="G77" s="10" t="s">
        <v>605</v>
      </c>
      <c r="H77" s="10" t="s">
        <v>1177</v>
      </c>
      <c r="I77" s="10" t="s">
        <v>1174</v>
      </c>
    </row>
    <row r="78" spans="1:9" ht="17.399999999999999" x14ac:dyDescent="0.3">
      <c r="A78" s="10" t="s">
        <v>475</v>
      </c>
      <c r="B78" s="10" t="s">
        <v>346</v>
      </c>
      <c r="C78" s="10" t="s">
        <v>606</v>
      </c>
      <c r="D78" s="10" t="s">
        <v>35</v>
      </c>
      <c r="E78" s="10" t="s">
        <v>14</v>
      </c>
      <c r="F78" s="10" t="s">
        <v>35</v>
      </c>
      <c r="G78" s="10" t="s">
        <v>607</v>
      </c>
      <c r="H78" s="10" t="s">
        <v>1177</v>
      </c>
      <c r="I78" s="10" t="s">
        <v>1174</v>
      </c>
    </row>
    <row r="79" spans="1:9" ht="17.399999999999999" x14ac:dyDescent="0.3">
      <c r="A79" s="10" t="s">
        <v>476</v>
      </c>
      <c r="B79" s="10" t="s">
        <v>289</v>
      </c>
      <c r="C79" s="10" t="s">
        <v>608</v>
      </c>
      <c r="D79" s="10" t="s">
        <v>35</v>
      </c>
      <c r="E79" s="10" t="s">
        <v>14</v>
      </c>
      <c r="F79" s="10" t="s">
        <v>35</v>
      </c>
      <c r="G79" s="10" t="s">
        <v>609</v>
      </c>
      <c r="H79" s="10" t="s">
        <v>1177</v>
      </c>
      <c r="I79" s="10" t="s">
        <v>1174</v>
      </c>
    </row>
    <row r="80" spans="1:9" ht="17.399999999999999" x14ac:dyDescent="0.3">
      <c r="A80" s="10" t="s">
        <v>477</v>
      </c>
      <c r="B80" s="10" t="s">
        <v>465</v>
      </c>
      <c r="C80" s="10" t="s">
        <v>610</v>
      </c>
      <c r="D80" s="10" t="s">
        <v>35</v>
      </c>
      <c r="E80" s="10" t="s">
        <v>14</v>
      </c>
      <c r="F80" s="10" t="s">
        <v>35</v>
      </c>
      <c r="G80" s="10" t="s">
        <v>611</v>
      </c>
      <c r="H80" s="10" t="s">
        <v>1177</v>
      </c>
      <c r="I80" s="10" t="s">
        <v>1174</v>
      </c>
    </row>
    <row r="81" spans="1:9" ht="17.399999999999999" x14ac:dyDescent="0.3">
      <c r="A81" s="10" t="s">
        <v>478</v>
      </c>
      <c r="B81" s="10" t="s">
        <v>346</v>
      </c>
      <c r="C81" s="10" t="s">
        <v>612</v>
      </c>
      <c r="D81" s="10" t="s">
        <v>35</v>
      </c>
      <c r="E81" s="10" t="s">
        <v>14</v>
      </c>
      <c r="F81" s="10" t="s">
        <v>35</v>
      </c>
      <c r="G81" s="10" t="s">
        <v>613</v>
      </c>
      <c r="H81" s="10" t="s">
        <v>1178</v>
      </c>
      <c r="I81" s="10" t="s">
        <v>1174</v>
      </c>
    </row>
    <row r="82" spans="1:9" ht="17.399999999999999" x14ac:dyDescent="0.3">
      <c r="A82" s="10" t="s">
        <v>479</v>
      </c>
      <c r="B82" s="10" t="s">
        <v>346</v>
      </c>
      <c r="C82" s="10" t="s">
        <v>614</v>
      </c>
      <c r="D82" s="10" t="s">
        <v>35</v>
      </c>
      <c r="E82" s="10" t="s">
        <v>14</v>
      </c>
      <c r="F82" s="10" t="s">
        <v>35</v>
      </c>
      <c r="G82" s="10" t="s">
        <v>615</v>
      </c>
      <c r="H82" s="10" t="s">
        <v>1178</v>
      </c>
      <c r="I82" s="10" t="s">
        <v>1174</v>
      </c>
    </row>
    <row r="83" spans="1:9" ht="17.399999999999999" x14ac:dyDescent="0.3">
      <c r="A83" s="10" t="s">
        <v>480</v>
      </c>
      <c r="B83" s="10" t="s">
        <v>346</v>
      </c>
      <c r="C83" s="10" t="s">
        <v>616</v>
      </c>
      <c r="D83" s="10" t="s">
        <v>35</v>
      </c>
      <c r="E83" s="10" t="s">
        <v>14</v>
      </c>
      <c r="F83" s="10" t="s">
        <v>35</v>
      </c>
      <c r="G83" s="10" t="s">
        <v>617</v>
      </c>
      <c r="H83" s="10" t="s">
        <v>1178</v>
      </c>
      <c r="I83" s="10" t="s">
        <v>1174</v>
      </c>
    </row>
    <row r="84" spans="1:9" ht="17.399999999999999" x14ac:dyDescent="0.3">
      <c r="A84" s="10" t="s">
        <v>481</v>
      </c>
      <c r="B84" s="10" t="s">
        <v>346</v>
      </c>
      <c r="C84" s="10" t="s">
        <v>618</v>
      </c>
      <c r="D84" s="10" t="s">
        <v>35</v>
      </c>
      <c r="E84" s="10" t="s">
        <v>14</v>
      </c>
      <c r="F84" s="10" t="s">
        <v>35</v>
      </c>
      <c r="G84" s="10" t="s">
        <v>619</v>
      </c>
      <c r="H84" s="10" t="s">
        <v>1178</v>
      </c>
      <c r="I84" s="10" t="s">
        <v>1174</v>
      </c>
    </row>
    <row r="85" spans="1:9" ht="17.399999999999999" x14ac:dyDescent="0.3">
      <c r="A85" s="10" t="s">
        <v>482</v>
      </c>
      <c r="B85" s="10" t="s">
        <v>222</v>
      </c>
      <c r="C85" s="10" t="s">
        <v>620</v>
      </c>
      <c r="D85" s="10" t="s">
        <v>35</v>
      </c>
      <c r="E85" s="10" t="s">
        <v>14</v>
      </c>
      <c r="F85" s="10" t="s">
        <v>35</v>
      </c>
      <c r="G85" s="10" t="s">
        <v>621</v>
      </c>
      <c r="H85" s="10" t="s">
        <v>1178</v>
      </c>
      <c r="I85" s="10" t="s">
        <v>1174</v>
      </c>
    </row>
    <row r="86" spans="1:9" ht="17.399999999999999" x14ac:dyDescent="0.3">
      <c r="A86" s="10" t="s">
        <v>483</v>
      </c>
      <c r="B86" s="10" t="s">
        <v>335</v>
      </c>
      <c r="C86" s="10" t="s">
        <v>622</v>
      </c>
      <c r="D86" s="10" t="s">
        <v>35</v>
      </c>
      <c r="E86" s="10" t="s">
        <v>14</v>
      </c>
      <c r="F86" s="10" t="s">
        <v>35</v>
      </c>
      <c r="G86" s="10" t="s">
        <v>623</v>
      </c>
      <c r="H86" s="10" t="s">
        <v>1178</v>
      </c>
      <c r="I86" s="10" t="s">
        <v>1174</v>
      </c>
    </row>
    <row r="87" spans="1:9" ht="17.399999999999999" x14ac:dyDescent="0.3">
      <c r="A87" s="10" t="s">
        <v>484</v>
      </c>
      <c r="B87" s="10" t="s">
        <v>346</v>
      </c>
      <c r="C87" s="10" t="s">
        <v>624</v>
      </c>
      <c r="D87" s="10" t="s">
        <v>35</v>
      </c>
      <c r="E87" s="10" t="s">
        <v>14</v>
      </c>
      <c r="F87" s="10" t="s">
        <v>35</v>
      </c>
      <c r="G87" s="10" t="s">
        <v>625</v>
      </c>
      <c r="H87" s="10" t="s">
        <v>1178</v>
      </c>
      <c r="I87" s="10" t="s">
        <v>1174</v>
      </c>
    </row>
    <row r="88" spans="1:9" ht="17.399999999999999" x14ac:dyDescent="0.3">
      <c r="A88" s="10" t="s">
        <v>485</v>
      </c>
      <c r="B88" s="10" t="s">
        <v>335</v>
      </c>
      <c r="C88" s="10" t="s">
        <v>626</v>
      </c>
      <c r="D88" s="10" t="s">
        <v>35</v>
      </c>
      <c r="E88" s="10" t="s">
        <v>14</v>
      </c>
      <c r="F88" s="10" t="s">
        <v>35</v>
      </c>
      <c r="G88" s="10" t="s">
        <v>627</v>
      </c>
      <c r="H88" s="10" t="s">
        <v>1178</v>
      </c>
      <c r="I88" s="10" t="s">
        <v>1174</v>
      </c>
    </row>
    <row r="89" spans="1:9" ht="17.399999999999999" x14ac:dyDescent="0.3">
      <c r="A89" s="10" t="s">
        <v>486</v>
      </c>
      <c r="B89" s="10" t="s">
        <v>335</v>
      </c>
      <c r="C89" s="10" t="s">
        <v>628</v>
      </c>
      <c r="D89" s="10" t="s">
        <v>35</v>
      </c>
      <c r="E89" s="10" t="s">
        <v>14</v>
      </c>
      <c r="F89" s="10" t="s">
        <v>35</v>
      </c>
      <c r="G89" s="10" t="s">
        <v>629</v>
      </c>
      <c r="H89" s="10" t="s">
        <v>1178</v>
      </c>
      <c r="I89" s="10" t="s">
        <v>1174</v>
      </c>
    </row>
    <row r="90" spans="1:9" ht="17.399999999999999" x14ac:dyDescent="0.3">
      <c r="A90" s="10" t="s">
        <v>487</v>
      </c>
      <c r="B90" s="10" t="s">
        <v>346</v>
      </c>
      <c r="C90" s="10" t="s">
        <v>630</v>
      </c>
      <c r="D90" s="10" t="s">
        <v>35</v>
      </c>
      <c r="E90" s="10" t="s">
        <v>14</v>
      </c>
      <c r="F90" s="10" t="s">
        <v>35</v>
      </c>
      <c r="G90" s="10" t="s">
        <v>631</v>
      </c>
      <c r="H90" s="10" t="s">
        <v>1178</v>
      </c>
      <c r="I90" s="10" t="s">
        <v>1174</v>
      </c>
    </row>
    <row r="91" spans="1:9" ht="17.399999999999999" x14ac:dyDescent="0.3">
      <c r="A91" s="10" t="s">
        <v>488</v>
      </c>
      <c r="B91" s="10" t="s">
        <v>346</v>
      </c>
      <c r="C91" s="10" t="s">
        <v>632</v>
      </c>
      <c r="D91" s="10" t="s">
        <v>35</v>
      </c>
      <c r="E91" s="10" t="s">
        <v>14</v>
      </c>
      <c r="F91" s="10" t="s">
        <v>35</v>
      </c>
      <c r="G91" s="10" t="s">
        <v>633</v>
      </c>
      <c r="H91" s="10" t="s">
        <v>1178</v>
      </c>
      <c r="I91" s="10" t="s">
        <v>1174</v>
      </c>
    </row>
    <row r="92" spans="1:9" ht="17.399999999999999" x14ac:dyDescent="0.3">
      <c r="A92" s="10" t="s">
        <v>489</v>
      </c>
      <c r="B92" s="10" t="s">
        <v>346</v>
      </c>
      <c r="C92" s="10" t="s">
        <v>634</v>
      </c>
      <c r="D92" s="10" t="s">
        <v>35</v>
      </c>
      <c r="E92" s="10" t="s">
        <v>14</v>
      </c>
      <c r="F92" s="10" t="s">
        <v>35</v>
      </c>
      <c r="G92" s="10" t="s">
        <v>635</v>
      </c>
      <c r="H92" s="10" t="s">
        <v>1178</v>
      </c>
      <c r="I92" s="10" t="s">
        <v>1174</v>
      </c>
    </row>
    <row r="93" spans="1:9" ht="17.399999999999999" x14ac:dyDescent="0.3">
      <c r="A93" s="10" t="s">
        <v>490</v>
      </c>
      <c r="B93" s="10" t="s">
        <v>346</v>
      </c>
      <c r="C93" s="10" t="s">
        <v>636</v>
      </c>
      <c r="D93" s="10" t="s">
        <v>35</v>
      </c>
      <c r="E93" s="10" t="s">
        <v>14</v>
      </c>
      <c r="F93" s="10" t="s">
        <v>35</v>
      </c>
      <c r="G93" s="10" t="s">
        <v>637</v>
      </c>
      <c r="H93" s="10" t="s">
        <v>1178</v>
      </c>
      <c r="I93" s="10" t="s">
        <v>1174</v>
      </c>
    </row>
    <row r="94" spans="1:9" ht="17.399999999999999" x14ac:dyDescent="0.3">
      <c r="A94" s="10" t="s">
        <v>491</v>
      </c>
      <c r="B94" s="10" t="s">
        <v>335</v>
      </c>
      <c r="C94" s="10" t="s">
        <v>638</v>
      </c>
      <c r="D94" s="10" t="s">
        <v>35</v>
      </c>
      <c r="E94" s="10" t="s">
        <v>14</v>
      </c>
      <c r="F94" s="10" t="s">
        <v>35</v>
      </c>
      <c r="G94" s="10" t="s">
        <v>639</v>
      </c>
      <c r="H94" s="10" t="s">
        <v>1178</v>
      </c>
      <c r="I94" s="10" t="s">
        <v>1174</v>
      </c>
    </row>
    <row r="95" spans="1:9" ht="17.399999999999999" x14ac:dyDescent="0.3">
      <c r="A95" s="10" t="s">
        <v>492</v>
      </c>
      <c r="B95" s="10" t="s">
        <v>493</v>
      </c>
      <c r="C95" s="10" t="s">
        <v>640</v>
      </c>
      <c r="D95" s="10" t="s">
        <v>35</v>
      </c>
      <c r="E95" s="10" t="s">
        <v>14</v>
      </c>
      <c r="F95" s="10" t="s">
        <v>35</v>
      </c>
      <c r="G95" s="10" t="s">
        <v>641</v>
      </c>
      <c r="H95" s="10" t="s">
        <v>1178</v>
      </c>
      <c r="I95" s="10" t="s">
        <v>1174</v>
      </c>
    </row>
    <row r="96" spans="1:9" ht="17.399999999999999" x14ac:dyDescent="0.3">
      <c r="A96" s="10" t="s">
        <v>494</v>
      </c>
      <c r="B96" s="10" t="s">
        <v>335</v>
      </c>
      <c r="C96" s="10" t="s">
        <v>642</v>
      </c>
      <c r="D96" s="10" t="s">
        <v>35</v>
      </c>
      <c r="E96" s="10" t="s">
        <v>14</v>
      </c>
      <c r="F96" s="10" t="s">
        <v>35</v>
      </c>
      <c r="G96" s="10" t="s">
        <v>643</v>
      </c>
      <c r="H96" s="10" t="s">
        <v>1178</v>
      </c>
      <c r="I96" s="10" t="s">
        <v>1174</v>
      </c>
    </row>
    <row r="97" spans="1:9" ht="17.399999999999999" x14ac:dyDescent="0.3">
      <c r="A97" s="10" t="s">
        <v>495</v>
      </c>
      <c r="B97" s="10" t="s">
        <v>335</v>
      </c>
      <c r="C97" s="10" t="s">
        <v>644</v>
      </c>
      <c r="D97" s="10" t="s">
        <v>35</v>
      </c>
      <c r="E97" s="10" t="s">
        <v>14</v>
      </c>
      <c r="F97" s="10" t="s">
        <v>35</v>
      </c>
      <c r="G97" s="10" t="s">
        <v>645</v>
      </c>
      <c r="H97" s="10" t="s">
        <v>1178</v>
      </c>
      <c r="I97" s="10" t="s">
        <v>1174</v>
      </c>
    </row>
    <row r="98" spans="1:9" ht="17.399999999999999" x14ac:dyDescent="0.3">
      <c r="A98" s="10" t="s">
        <v>496</v>
      </c>
      <c r="B98" s="10" t="s">
        <v>335</v>
      </c>
      <c r="C98" s="10" t="s">
        <v>646</v>
      </c>
      <c r="D98" s="10" t="s">
        <v>35</v>
      </c>
      <c r="E98" s="10" t="s">
        <v>14</v>
      </c>
      <c r="F98" s="10" t="s">
        <v>35</v>
      </c>
      <c r="G98" s="10" t="s">
        <v>647</v>
      </c>
      <c r="H98" s="10" t="s">
        <v>1178</v>
      </c>
      <c r="I98" s="10" t="s">
        <v>1174</v>
      </c>
    </row>
    <row r="99" spans="1:9" ht="17.399999999999999" x14ac:dyDescent="0.3">
      <c r="A99" s="10" t="s">
        <v>497</v>
      </c>
      <c r="B99" s="10" t="s">
        <v>498</v>
      </c>
      <c r="C99" s="10" t="s">
        <v>648</v>
      </c>
      <c r="D99" s="10" t="s">
        <v>35</v>
      </c>
      <c r="E99" s="10" t="s">
        <v>14</v>
      </c>
      <c r="F99" s="10" t="s">
        <v>35</v>
      </c>
      <c r="G99" s="10" t="s">
        <v>649</v>
      </c>
      <c r="H99" s="10" t="s">
        <v>1178</v>
      </c>
      <c r="I99" s="10" t="s">
        <v>1174</v>
      </c>
    </row>
    <row r="100" spans="1:9" ht="17.399999999999999" x14ac:dyDescent="0.3">
      <c r="A100" s="10" t="s">
        <v>499</v>
      </c>
      <c r="B100" s="10" t="s">
        <v>335</v>
      </c>
      <c r="C100" s="10" t="s">
        <v>650</v>
      </c>
      <c r="D100" s="10" t="s">
        <v>35</v>
      </c>
      <c r="E100" s="10" t="s">
        <v>14</v>
      </c>
      <c r="F100" s="10" t="s">
        <v>35</v>
      </c>
      <c r="G100" s="10" t="s">
        <v>651</v>
      </c>
      <c r="H100" s="10" t="s">
        <v>1178</v>
      </c>
      <c r="I100" s="10" t="s">
        <v>1174</v>
      </c>
    </row>
    <row r="101" spans="1:9" ht="17.399999999999999" x14ac:dyDescent="0.3">
      <c r="A101" s="10" t="s">
        <v>500</v>
      </c>
      <c r="B101" s="10" t="s">
        <v>335</v>
      </c>
      <c r="C101" s="10" t="s">
        <v>652</v>
      </c>
      <c r="D101" s="10" t="s">
        <v>35</v>
      </c>
      <c r="E101" s="10" t="s">
        <v>14</v>
      </c>
      <c r="F101" s="10" t="s">
        <v>35</v>
      </c>
      <c r="G101" s="10" t="s">
        <v>653</v>
      </c>
      <c r="H101" s="10" t="s">
        <v>1178</v>
      </c>
      <c r="I101" s="10" t="s">
        <v>1174</v>
      </c>
    </row>
    <row r="102" spans="1:9" ht="17.399999999999999" x14ac:dyDescent="0.3">
      <c r="A102" s="10" t="s">
        <v>501</v>
      </c>
      <c r="B102" s="10" t="s">
        <v>346</v>
      </c>
      <c r="C102" s="10" t="s">
        <v>654</v>
      </c>
      <c r="D102" s="10" t="s">
        <v>35</v>
      </c>
      <c r="E102" s="10" t="s">
        <v>14</v>
      </c>
      <c r="F102" s="10" t="s">
        <v>35</v>
      </c>
      <c r="G102" s="10" t="s">
        <v>655</v>
      </c>
      <c r="H102" s="10" t="s">
        <v>1178</v>
      </c>
      <c r="I102" s="10" t="s">
        <v>1174</v>
      </c>
    </row>
    <row r="103" spans="1:9" ht="17.399999999999999" x14ac:dyDescent="0.3">
      <c r="A103" s="10" t="s">
        <v>502</v>
      </c>
      <c r="B103" s="10" t="s">
        <v>346</v>
      </c>
      <c r="C103" s="10" t="s">
        <v>656</v>
      </c>
      <c r="D103" s="10" t="s">
        <v>35</v>
      </c>
      <c r="E103" s="10" t="s">
        <v>14</v>
      </c>
      <c r="F103" s="10" t="s">
        <v>35</v>
      </c>
      <c r="G103" s="10" t="s">
        <v>657</v>
      </c>
      <c r="H103" s="10" t="s">
        <v>1178</v>
      </c>
      <c r="I103" s="10" t="s">
        <v>1174</v>
      </c>
    </row>
    <row r="104" spans="1:9" ht="17.399999999999999" x14ac:dyDescent="0.3">
      <c r="A104" s="10" t="s">
        <v>503</v>
      </c>
      <c r="B104" s="10" t="s">
        <v>465</v>
      </c>
      <c r="C104" s="10" t="s">
        <v>658</v>
      </c>
      <c r="D104" s="10" t="s">
        <v>35</v>
      </c>
      <c r="E104" s="10" t="s">
        <v>14</v>
      </c>
      <c r="F104" s="10" t="s">
        <v>35</v>
      </c>
      <c r="G104" s="10" t="s">
        <v>659</v>
      </c>
      <c r="H104" s="10" t="s">
        <v>1178</v>
      </c>
      <c r="I104" s="10" t="s">
        <v>1174</v>
      </c>
    </row>
    <row r="105" spans="1:9" ht="17.399999999999999" x14ac:dyDescent="0.3">
      <c r="A105" s="10" t="s">
        <v>504</v>
      </c>
      <c r="B105" s="10" t="s">
        <v>346</v>
      </c>
      <c r="C105" s="10" t="s">
        <v>660</v>
      </c>
      <c r="D105" s="10" t="s">
        <v>35</v>
      </c>
      <c r="E105" s="10" t="s">
        <v>14</v>
      </c>
      <c r="F105" s="10" t="s">
        <v>35</v>
      </c>
      <c r="G105" s="10" t="s">
        <v>661</v>
      </c>
      <c r="H105" s="10" t="s">
        <v>1178</v>
      </c>
      <c r="I105" s="10" t="s">
        <v>1174</v>
      </c>
    </row>
    <row r="106" spans="1:9" ht="17.399999999999999" x14ac:dyDescent="0.3">
      <c r="A106" s="10" t="s">
        <v>505</v>
      </c>
      <c r="B106" s="10" t="s">
        <v>335</v>
      </c>
      <c r="C106" s="10" t="s">
        <v>662</v>
      </c>
      <c r="D106" s="10" t="s">
        <v>35</v>
      </c>
      <c r="E106" s="10" t="s">
        <v>14</v>
      </c>
      <c r="F106" s="10" t="s">
        <v>35</v>
      </c>
      <c r="G106" s="10" t="s">
        <v>663</v>
      </c>
      <c r="H106" s="10" t="s">
        <v>1178</v>
      </c>
      <c r="I106" s="10" t="s">
        <v>1174</v>
      </c>
    </row>
    <row r="107" spans="1:9" ht="17.399999999999999" x14ac:dyDescent="0.3">
      <c r="A107" s="10" t="s">
        <v>506</v>
      </c>
      <c r="B107" s="10" t="s">
        <v>335</v>
      </c>
      <c r="C107" s="10" t="s">
        <v>664</v>
      </c>
      <c r="D107" s="10" t="s">
        <v>35</v>
      </c>
      <c r="E107" s="10" t="s">
        <v>14</v>
      </c>
      <c r="F107" s="10" t="s">
        <v>35</v>
      </c>
      <c r="G107" s="10" t="s">
        <v>665</v>
      </c>
      <c r="H107" s="10" t="s">
        <v>1178</v>
      </c>
      <c r="I107" s="10" t="s">
        <v>1174</v>
      </c>
    </row>
    <row r="108" spans="1:9" ht="17.399999999999999" x14ac:dyDescent="0.3">
      <c r="A108" s="10" t="s">
        <v>507</v>
      </c>
      <c r="B108" s="10" t="s">
        <v>335</v>
      </c>
      <c r="C108" s="10" t="s">
        <v>666</v>
      </c>
      <c r="D108" s="10" t="s">
        <v>35</v>
      </c>
      <c r="E108" s="10" t="s">
        <v>14</v>
      </c>
      <c r="F108" s="10" t="s">
        <v>35</v>
      </c>
      <c r="G108" s="10" t="s">
        <v>667</v>
      </c>
      <c r="H108" s="10" t="s">
        <v>1178</v>
      </c>
      <c r="I108" s="10" t="s">
        <v>1174</v>
      </c>
    </row>
    <row r="109" spans="1:9" ht="17.399999999999999" x14ac:dyDescent="0.3">
      <c r="A109" s="10" t="s">
        <v>508</v>
      </c>
      <c r="B109" s="10" t="s">
        <v>346</v>
      </c>
      <c r="C109" s="10" t="s">
        <v>668</v>
      </c>
      <c r="D109" s="10" t="s">
        <v>35</v>
      </c>
      <c r="E109" s="10" t="s">
        <v>14</v>
      </c>
      <c r="F109" s="10" t="s">
        <v>35</v>
      </c>
      <c r="G109" s="10" t="s">
        <v>669</v>
      </c>
      <c r="H109" s="10" t="s">
        <v>1178</v>
      </c>
      <c r="I109" s="10" t="s">
        <v>1174</v>
      </c>
    </row>
    <row r="110" spans="1:9" ht="17.399999999999999" x14ac:dyDescent="0.3">
      <c r="A110" s="10" t="s">
        <v>509</v>
      </c>
      <c r="B110" s="10" t="s">
        <v>346</v>
      </c>
      <c r="C110" s="10" t="s">
        <v>670</v>
      </c>
      <c r="D110" s="10" t="s">
        <v>35</v>
      </c>
      <c r="E110" s="10" t="s">
        <v>14</v>
      </c>
      <c r="F110" s="10" t="s">
        <v>35</v>
      </c>
      <c r="G110" s="10" t="s">
        <v>671</v>
      </c>
      <c r="H110" s="10" t="s">
        <v>1178</v>
      </c>
      <c r="I110" s="10" t="s">
        <v>1174</v>
      </c>
    </row>
    <row r="111" spans="1:9" ht="17.399999999999999" x14ac:dyDescent="0.3">
      <c r="A111" s="10" t="s">
        <v>510</v>
      </c>
      <c r="B111" s="10" t="s">
        <v>346</v>
      </c>
      <c r="C111" s="10" t="s">
        <v>672</v>
      </c>
      <c r="D111" s="10" t="s">
        <v>35</v>
      </c>
      <c r="E111" s="10" t="s">
        <v>14</v>
      </c>
      <c r="F111" s="10" t="s">
        <v>35</v>
      </c>
      <c r="G111" s="10" t="s">
        <v>673</v>
      </c>
      <c r="H111" s="10" t="s">
        <v>1178</v>
      </c>
      <c r="I111" s="10" t="s">
        <v>1174</v>
      </c>
    </row>
    <row r="112" spans="1:9" ht="17.399999999999999" x14ac:dyDescent="0.3">
      <c r="A112" s="10" t="s">
        <v>511</v>
      </c>
      <c r="B112" s="10" t="s">
        <v>493</v>
      </c>
      <c r="C112" s="10" t="s">
        <v>674</v>
      </c>
      <c r="D112" s="10" t="s">
        <v>35</v>
      </c>
      <c r="E112" s="10" t="s">
        <v>14</v>
      </c>
      <c r="F112" s="10" t="s">
        <v>35</v>
      </c>
      <c r="G112" s="10" t="s">
        <v>675</v>
      </c>
      <c r="H112" s="10" t="s">
        <v>1178</v>
      </c>
      <c r="I112" s="10" t="s">
        <v>1174</v>
      </c>
    </row>
    <row r="113" spans="1:9" ht="17.399999999999999" x14ac:dyDescent="0.3">
      <c r="A113" s="10" t="s">
        <v>512</v>
      </c>
      <c r="B113" s="10" t="s">
        <v>346</v>
      </c>
      <c r="C113" s="10" t="s">
        <v>676</v>
      </c>
      <c r="D113" s="10" t="s">
        <v>35</v>
      </c>
      <c r="E113" s="10" t="s">
        <v>14</v>
      </c>
      <c r="F113" s="10" t="s">
        <v>35</v>
      </c>
      <c r="G113" s="10" t="s">
        <v>677</v>
      </c>
      <c r="H113" s="10" t="s">
        <v>1178</v>
      </c>
      <c r="I113" s="10" t="s">
        <v>1174</v>
      </c>
    </row>
    <row r="114" spans="1:9" ht="17.399999999999999" x14ac:dyDescent="0.3">
      <c r="A114" s="10" t="s">
        <v>513</v>
      </c>
      <c r="B114" s="10" t="s">
        <v>498</v>
      </c>
      <c r="C114" s="10" t="s">
        <v>678</v>
      </c>
      <c r="D114" s="10" t="s">
        <v>35</v>
      </c>
      <c r="E114" s="10" t="s">
        <v>14</v>
      </c>
      <c r="F114" s="10" t="s">
        <v>35</v>
      </c>
      <c r="G114" s="10" t="s">
        <v>679</v>
      </c>
      <c r="H114" s="10" t="s">
        <v>1178</v>
      </c>
      <c r="I114" s="10" t="s">
        <v>1174</v>
      </c>
    </row>
    <row r="115" spans="1:9" ht="17.399999999999999" x14ac:dyDescent="0.3">
      <c r="A115" s="10" t="s">
        <v>514</v>
      </c>
      <c r="B115" s="10" t="s">
        <v>289</v>
      </c>
      <c r="C115" s="10" t="s">
        <v>680</v>
      </c>
      <c r="D115" s="10" t="s">
        <v>35</v>
      </c>
      <c r="E115" s="10" t="s">
        <v>14</v>
      </c>
      <c r="F115" s="10" t="s">
        <v>35</v>
      </c>
      <c r="G115" s="10" t="s">
        <v>681</v>
      </c>
      <c r="H115" s="10" t="s">
        <v>1178</v>
      </c>
      <c r="I115" s="10" t="s">
        <v>1174</v>
      </c>
    </row>
    <row r="116" spans="1:9" ht="17.399999999999999" x14ac:dyDescent="0.3">
      <c r="A116" s="10" t="s">
        <v>515</v>
      </c>
      <c r="B116" s="10" t="s">
        <v>289</v>
      </c>
      <c r="C116" s="10" t="s">
        <v>682</v>
      </c>
      <c r="D116" s="10" t="s">
        <v>35</v>
      </c>
      <c r="E116" s="10" t="s">
        <v>14</v>
      </c>
      <c r="F116" s="10" t="s">
        <v>35</v>
      </c>
      <c r="G116" s="10" t="s">
        <v>683</v>
      </c>
      <c r="H116" s="10" t="s">
        <v>1178</v>
      </c>
      <c r="I116" s="10" t="s">
        <v>1174</v>
      </c>
    </row>
    <row r="117" spans="1:9" ht="17.399999999999999" x14ac:dyDescent="0.3">
      <c r="A117" s="10" t="s">
        <v>516</v>
      </c>
      <c r="B117" s="10" t="s">
        <v>335</v>
      </c>
      <c r="C117" s="10" t="s">
        <v>684</v>
      </c>
      <c r="D117" s="10" t="s">
        <v>35</v>
      </c>
      <c r="E117" s="10" t="s">
        <v>14</v>
      </c>
      <c r="F117" s="10" t="s">
        <v>35</v>
      </c>
      <c r="G117" s="10" t="s">
        <v>685</v>
      </c>
      <c r="H117" s="10" t="s">
        <v>1178</v>
      </c>
      <c r="I117" s="10" t="s">
        <v>1174</v>
      </c>
    </row>
    <row r="118" spans="1:9" ht="17.399999999999999" x14ac:dyDescent="0.3">
      <c r="A118" s="10" t="s">
        <v>517</v>
      </c>
      <c r="B118" s="10" t="s">
        <v>335</v>
      </c>
      <c r="C118" s="10" t="s">
        <v>686</v>
      </c>
      <c r="D118" s="10" t="s">
        <v>35</v>
      </c>
      <c r="E118" s="10" t="s">
        <v>14</v>
      </c>
      <c r="F118" s="10" t="s">
        <v>35</v>
      </c>
      <c r="G118" s="10" t="s">
        <v>687</v>
      </c>
      <c r="H118" s="10" t="s">
        <v>1178</v>
      </c>
      <c r="I118" s="10" t="s">
        <v>1174</v>
      </c>
    </row>
    <row r="119" spans="1:9" ht="17.399999999999999" x14ac:dyDescent="0.3">
      <c r="A119" s="10" t="s">
        <v>518</v>
      </c>
      <c r="B119" s="10" t="s">
        <v>346</v>
      </c>
      <c r="C119" s="10" t="s">
        <v>688</v>
      </c>
      <c r="D119" s="10" t="s">
        <v>35</v>
      </c>
      <c r="E119" s="10" t="s">
        <v>14</v>
      </c>
      <c r="F119" s="10" t="s">
        <v>35</v>
      </c>
      <c r="G119" s="10" t="s">
        <v>689</v>
      </c>
      <c r="H119" s="10" t="s">
        <v>1178</v>
      </c>
      <c r="I119" s="10" t="s">
        <v>1174</v>
      </c>
    </row>
    <row r="120" spans="1:9" ht="17.399999999999999" x14ac:dyDescent="0.3">
      <c r="A120" s="10" t="s">
        <v>519</v>
      </c>
      <c r="B120" s="10" t="s">
        <v>289</v>
      </c>
      <c r="C120" s="10" t="s">
        <v>690</v>
      </c>
      <c r="D120" s="10" t="s">
        <v>35</v>
      </c>
      <c r="E120" s="10" t="s">
        <v>14</v>
      </c>
      <c r="F120" s="10" t="s">
        <v>35</v>
      </c>
      <c r="G120" s="10" t="s">
        <v>691</v>
      </c>
      <c r="H120" s="10" t="s">
        <v>1178</v>
      </c>
      <c r="I120" s="10" t="s">
        <v>1174</v>
      </c>
    </row>
    <row r="121" spans="1:9" ht="17.399999999999999" x14ac:dyDescent="0.3">
      <c r="A121" s="10" t="s">
        <v>520</v>
      </c>
      <c r="B121" s="10" t="s">
        <v>493</v>
      </c>
      <c r="C121" s="10" t="s">
        <v>692</v>
      </c>
      <c r="D121" s="10" t="s">
        <v>35</v>
      </c>
      <c r="E121" s="10" t="s">
        <v>14</v>
      </c>
      <c r="F121" s="10" t="s">
        <v>35</v>
      </c>
      <c r="G121" s="10" t="s">
        <v>693</v>
      </c>
      <c r="H121" s="10" t="s">
        <v>1178</v>
      </c>
      <c r="I121" s="10" t="s">
        <v>1174</v>
      </c>
    </row>
    <row r="122" spans="1:9" ht="17.399999999999999" x14ac:dyDescent="0.3">
      <c r="A122" s="10" t="s">
        <v>521</v>
      </c>
      <c r="B122" s="10" t="s">
        <v>289</v>
      </c>
      <c r="C122" s="10" t="s">
        <v>694</v>
      </c>
      <c r="D122" s="10" t="s">
        <v>35</v>
      </c>
      <c r="E122" s="10" t="s">
        <v>14</v>
      </c>
      <c r="F122" s="10" t="s">
        <v>35</v>
      </c>
      <c r="G122" s="10" t="s">
        <v>695</v>
      </c>
      <c r="H122" s="10" t="s">
        <v>1178</v>
      </c>
      <c r="I122" s="10" t="s">
        <v>1174</v>
      </c>
    </row>
    <row r="123" spans="1:9" ht="17.399999999999999" x14ac:dyDescent="0.3">
      <c r="A123" s="10" t="s">
        <v>522</v>
      </c>
      <c r="B123" s="10" t="s">
        <v>346</v>
      </c>
      <c r="C123" s="10" t="s">
        <v>696</v>
      </c>
      <c r="D123" s="10" t="s">
        <v>35</v>
      </c>
      <c r="E123" s="10" t="s">
        <v>14</v>
      </c>
      <c r="F123" s="10" t="s">
        <v>35</v>
      </c>
      <c r="G123" s="10" t="s">
        <v>697</v>
      </c>
      <c r="H123" s="10" t="s">
        <v>380</v>
      </c>
      <c r="I123" s="10" t="s">
        <v>1174</v>
      </c>
    </row>
    <row r="124" spans="1:9" ht="17.399999999999999" x14ac:dyDescent="0.3">
      <c r="A124" s="10" t="s">
        <v>523</v>
      </c>
      <c r="B124" s="10" t="s">
        <v>346</v>
      </c>
      <c r="C124" s="10" t="s">
        <v>698</v>
      </c>
      <c r="D124" s="10" t="s">
        <v>35</v>
      </c>
      <c r="E124" s="10" t="s">
        <v>14</v>
      </c>
      <c r="F124" s="10" t="s">
        <v>35</v>
      </c>
      <c r="G124" s="10" t="s">
        <v>699</v>
      </c>
      <c r="H124" s="10" t="s">
        <v>380</v>
      </c>
      <c r="I124" s="10" t="s">
        <v>1174</v>
      </c>
    </row>
    <row r="125" spans="1:9" ht="17.399999999999999" x14ac:dyDescent="0.3">
      <c r="A125" s="10" t="s">
        <v>524</v>
      </c>
      <c r="B125" s="10" t="s">
        <v>465</v>
      </c>
      <c r="C125" s="10" t="s">
        <v>700</v>
      </c>
      <c r="D125" s="10" t="s">
        <v>35</v>
      </c>
      <c r="E125" s="10" t="s">
        <v>14</v>
      </c>
      <c r="F125" s="10" t="s">
        <v>35</v>
      </c>
      <c r="G125" s="10" t="s">
        <v>701</v>
      </c>
      <c r="H125" s="10" t="s">
        <v>380</v>
      </c>
      <c r="I125" s="10" t="s">
        <v>1174</v>
      </c>
    </row>
    <row r="126" spans="1:9" ht="17.399999999999999" x14ac:dyDescent="0.3">
      <c r="A126" s="10" t="s">
        <v>525</v>
      </c>
      <c r="B126" s="10" t="s">
        <v>335</v>
      </c>
      <c r="C126" s="10" t="s">
        <v>702</v>
      </c>
      <c r="D126" s="10" t="s">
        <v>35</v>
      </c>
      <c r="E126" s="10" t="s">
        <v>14</v>
      </c>
      <c r="F126" s="10" t="s">
        <v>35</v>
      </c>
      <c r="G126" s="10" t="s">
        <v>703</v>
      </c>
      <c r="H126" s="10" t="s">
        <v>380</v>
      </c>
      <c r="I126" s="10" t="s">
        <v>1174</v>
      </c>
    </row>
    <row r="127" spans="1:9" ht="17.399999999999999" x14ac:dyDescent="0.3">
      <c r="A127" s="10" t="s">
        <v>526</v>
      </c>
      <c r="B127" s="10" t="s">
        <v>335</v>
      </c>
      <c r="C127" s="10" t="s">
        <v>662</v>
      </c>
      <c r="D127" s="10" t="s">
        <v>35</v>
      </c>
      <c r="E127" s="10" t="s">
        <v>14</v>
      </c>
      <c r="F127" s="10" t="s">
        <v>35</v>
      </c>
      <c r="G127" s="10" t="s">
        <v>704</v>
      </c>
      <c r="H127" s="10" t="s">
        <v>380</v>
      </c>
      <c r="I127" s="10" t="s">
        <v>1174</v>
      </c>
    </row>
    <row r="128" spans="1:9" ht="17.399999999999999" x14ac:dyDescent="0.3">
      <c r="A128" s="10" t="s">
        <v>527</v>
      </c>
      <c r="B128" s="10" t="s">
        <v>335</v>
      </c>
      <c r="C128" s="10" t="s">
        <v>705</v>
      </c>
      <c r="D128" s="10" t="s">
        <v>35</v>
      </c>
      <c r="E128" s="10" t="s">
        <v>14</v>
      </c>
      <c r="F128" s="10" t="s">
        <v>35</v>
      </c>
      <c r="G128" s="10" t="s">
        <v>706</v>
      </c>
      <c r="H128" s="10" t="s">
        <v>380</v>
      </c>
      <c r="I128" s="10" t="s">
        <v>1174</v>
      </c>
    </row>
    <row r="129" spans="1:9" ht="17.399999999999999" x14ac:dyDescent="0.3">
      <c r="A129" s="10" t="s">
        <v>528</v>
      </c>
      <c r="B129" s="10" t="s">
        <v>222</v>
      </c>
      <c r="C129" s="10" t="s">
        <v>707</v>
      </c>
      <c r="D129" s="10" t="s">
        <v>35</v>
      </c>
      <c r="E129" s="10" t="s">
        <v>14</v>
      </c>
      <c r="F129" s="10" t="s">
        <v>35</v>
      </c>
      <c r="G129" s="10" t="s">
        <v>708</v>
      </c>
      <c r="H129" s="10" t="s">
        <v>380</v>
      </c>
      <c r="I129" s="10" t="s">
        <v>1174</v>
      </c>
    </row>
    <row r="130" spans="1:9" ht="17.399999999999999" x14ac:dyDescent="0.3">
      <c r="A130" s="10" t="s">
        <v>529</v>
      </c>
      <c r="B130" s="10" t="s">
        <v>335</v>
      </c>
      <c r="C130" s="10" t="s">
        <v>709</v>
      </c>
      <c r="D130" s="10" t="s">
        <v>35</v>
      </c>
      <c r="E130" s="10" t="s">
        <v>14</v>
      </c>
      <c r="F130" s="10" t="s">
        <v>35</v>
      </c>
      <c r="G130" s="10" t="s">
        <v>710</v>
      </c>
      <c r="H130" s="10" t="s">
        <v>380</v>
      </c>
      <c r="I130" s="10" t="s">
        <v>1174</v>
      </c>
    </row>
    <row r="131" spans="1:9" ht="17.399999999999999" x14ac:dyDescent="0.3">
      <c r="A131" s="10" t="s">
        <v>530</v>
      </c>
      <c r="B131" s="10" t="s">
        <v>346</v>
      </c>
      <c r="C131" s="10" t="s">
        <v>711</v>
      </c>
      <c r="D131" s="10" t="s">
        <v>35</v>
      </c>
      <c r="E131" s="10" t="s">
        <v>14</v>
      </c>
      <c r="F131" s="10" t="s">
        <v>35</v>
      </c>
      <c r="G131" s="10" t="s">
        <v>712</v>
      </c>
      <c r="H131" s="10" t="s">
        <v>380</v>
      </c>
      <c r="I131" s="10" t="s">
        <v>1174</v>
      </c>
    </row>
  </sheetData>
  <conditionalFormatting sqref="F1:F1048576">
    <cfRule type="containsText" dxfId="3" priority="1" operator="containsText" text="Medium">
      <formula>NOT(ISERROR(SEARCH("Medium",F1)))</formula>
    </cfRule>
    <cfRule type="containsText" dxfId="2" priority="2" operator="containsText" text="Low">
      <formula>NOT(ISERROR(SEARCH("Low",F1)))</formula>
    </cfRule>
    <cfRule type="containsText" dxfId="1" priority="3" operator="containsText" text="High">
      <formula>NOT(ISERROR(SEARCH("High",F1)))</formula>
    </cfRule>
    <cfRule type="containsText" dxfId="0" priority="4" operator="containsText" text="Critical">
      <formula>NOT(ISERROR(SEARCH("Critical",F1)))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E414-04D9-4BD8-ABA9-786F2F7D3F7B}">
  <dimension ref="A1:F13"/>
  <sheetViews>
    <sheetView workbookViewId="0">
      <selection activeCell="E9" sqref="E9"/>
    </sheetView>
  </sheetViews>
  <sheetFormatPr defaultRowHeight="14.4" x14ac:dyDescent="0.3"/>
  <cols>
    <col min="1" max="1" width="10.44140625" bestFit="1" customWidth="1"/>
    <col min="2" max="2" width="48.5546875" bestFit="1" customWidth="1"/>
    <col min="3" max="3" width="9.33203125" bestFit="1" customWidth="1"/>
    <col min="5" max="5" width="10.5546875" bestFit="1" customWidth="1"/>
    <col min="6" max="6" width="11.77734375" bestFit="1" customWidth="1"/>
  </cols>
  <sheetData>
    <row r="1" spans="1:6" ht="17.399999999999999" x14ac:dyDescent="0.3">
      <c r="A1" s="14" t="s">
        <v>6</v>
      </c>
      <c r="B1" s="14" t="s">
        <v>364</v>
      </c>
      <c r="C1" s="14" t="s">
        <v>317</v>
      </c>
      <c r="D1" s="14" t="s">
        <v>365</v>
      </c>
      <c r="E1" s="14" t="s">
        <v>319</v>
      </c>
      <c r="F1" s="14" t="s">
        <v>7</v>
      </c>
    </row>
    <row r="2" spans="1:6" ht="15.6" x14ac:dyDescent="0.3">
      <c r="A2" s="15" t="s">
        <v>214</v>
      </c>
      <c r="B2" s="15" t="s">
        <v>366</v>
      </c>
      <c r="C2" s="15" t="s">
        <v>14</v>
      </c>
      <c r="D2" s="15" t="s">
        <v>35</v>
      </c>
      <c r="E2" s="15" t="s">
        <v>323</v>
      </c>
      <c r="F2" s="15" t="s">
        <v>381</v>
      </c>
    </row>
    <row r="3" spans="1:6" ht="15.6" x14ac:dyDescent="0.3">
      <c r="A3" s="15" t="s">
        <v>214</v>
      </c>
      <c r="B3" s="15" t="s">
        <v>367</v>
      </c>
      <c r="C3" s="15" t="s">
        <v>14</v>
      </c>
      <c r="D3" s="15" t="s">
        <v>14</v>
      </c>
      <c r="E3" s="15" t="s">
        <v>323</v>
      </c>
      <c r="F3" s="15" t="s">
        <v>381</v>
      </c>
    </row>
    <row r="4" spans="1:6" ht="15.6" x14ac:dyDescent="0.3">
      <c r="A4" s="15" t="s">
        <v>14</v>
      </c>
      <c r="B4" s="15" t="s">
        <v>368</v>
      </c>
      <c r="C4" s="15" t="s">
        <v>14</v>
      </c>
      <c r="D4" s="15" t="s">
        <v>35</v>
      </c>
      <c r="E4" s="15" t="s">
        <v>323</v>
      </c>
      <c r="F4" s="15" t="s">
        <v>381</v>
      </c>
    </row>
    <row r="5" spans="1:6" ht="15.6" x14ac:dyDescent="0.3">
      <c r="A5" s="15" t="s">
        <v>14</v>
      </c>
      <c r="B5" s="15" t="s">
        <v>369</v>
      </c>
      <c r="C5" s="15" t="s">
        <v>14</v>
      </c>
      <c r="D5" s="15" t="s">
        <v>117</v>
      </c>
      <c r="E5" s="15" t="s">
        <v>323</v>
      </c>
      <c r="F5" s="15" t="s">
        <v>381</v>
      </c>
    </row>
    <row r="6" spans="1:6" ht="15.6" x14ac:dyDescent="0.3">
      <c r="A6" s="15" t="s">
        <v>14</v>
      </c>
      <c r="B6" s="15" t="s">
        <v>370</v>
      </c>
      <c r="C6" s="15" t="s">
        <v>35</v>
      </c>
      <c r="D6" s="15" t="s">
        <v>117</v>
      </c>
      <c r="E6" s="15" t="s">
        <v>323</v>
      </c>
      <c r="F6" s="15" t="s">
        <v>381</v>
      </c>
    </row>
    <row r="7" spans="1:6" ht="15.6" x14ac:dyDescent="0.3">
      <c r="A7" s="15" t="s">
        <v>35</v>
      </c>
      <c r="B7" s="15" t="s">
        <v>371</v>
      </c>
      <c r="C7" s="15" t="s">
        <v>35</v>
      </c>
      <c r="D7" s="15" t="s">
        <v>117</v>
      </c>
      <c r="E7" s="15" t="s">
        <v>323</v>
      </c>
      <c r="F7" s="15" t="s">
        <v>381</v>
      </c>
    </row>
    <row r="8" spans="1:6" ht="15.6" x14ac:dyDescent="0.3">
      <c r="A8" s="15" t="s">
        <v>35</v>
      </c>
      <c r="B8" s="15" t="s">
        <v>372</v>
      </c>
      <c r="C8" s="15" t="s">
        <v>35</v>
      </c>
      <c r="D8" s="15" t="s">
        <v>35</v>
      </c>
      <c r="E8" s="15" t="s">
        <v>323</v>
      </c>
      <c r="F8" s="15" t="s">
        <v>381</v>
      </c>
    </row>
    <row r="9" spans="1:6" ht="15.6" x14ac:dyDescent="0.3">
      <c r="A9" s="15" t="s">
        <v>35</v>
      </c>
      <c r="B9" s="15" t="s">
        <v>373</v>
      </c>
      <c r="C9" s="15" t="s">
        <v>35</v>
      </c>
      <c r="D9" s="15" t="s">
        <v>35</v>
      </c>
      <c r="E9" s="15" t="s">
        <v>344</v>
      </c>
      <c r="F9" s="15" t="s">
        <v>381</v>
      </c>
    </row>
    <row r="10" spans="1:6" ht="15.6" x14ac:dyDescent="0.3">
      <c r="A10" s="15" t="s">
        <v>35</v>
      </c>
      <c r="B10" s="15" t="s">
        <v>374</v>
      </c>
      <c r="C10" s="15" t="s">
        <v>35</v>
      </c>
      <c r="D10" s="15" t="s">
        <v>14</v>
      </c>
      <c r="E10" s="15" t="s">
        <v>323</v>
      </c>
      <c r="F10" s="15" t="s">
        <v>381</v>
      </c>
    </row>
    <row r="11" spans="1:6" ht="15.6" x14ac:dyDescent="0.3">
      <c r="A11" s="15" t="s">
        <v>117</v>
      </c>
      <c r="B11" s="15" t="s">
        <v>375</v>
      </c>
      <c r="C11" s="15" t="s">
        <v>117</v>
      </c>
      <c r="D11" s="15" t="s">
        <v>117</v>
      </c>
      <c r="E11" s="15" t="s">
        <v>323</v>
      </c>
      <c r="F11" s="15" t="s">
        <v>381</v>
      </c>
    </row>
    <row r="12" spans="1:6" ht="15.6" x14ac:dyDescent="0.3">
      <c r="A12" s="15" t="s">
        <v>117</v>
      </c>
      <c r="B12" s="15" t="s">
        <v>376</v>
      </c>
      <c r="C12" s="15" t="s">
        <v>117</v>
      </c>
      <c r="D12" s="15" t="s">
        <v>117</v>
      </c>
      <c r="E12" s="15" t="s">
        <v>323</v>
      </c>
      <c r="F12" s="15" t="s">
        <v>381</v>
      </c>
    </row>
    <row r="13" spans="1:6" ht="15.6" x14ac:dyDescent="0.3">
      <c r="A13" s="13"/>
      <c r="B13" s="13"/>
      <c r="C13" s="13"/>
      <c r="D13" s="13"/>
      <c r="E13" s="13"/>
      <c r="F13" s="1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d9b6525-6e20-4b4c-a711-43674b51528a}" enabled="1" method="Standard" siteId="{5ce0d9fe-6445-4b6d-9d67-a58a09b03ba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TEST_CASES</vt:lpstr>
      <vt:lpstr>DEFECTS_LOG</vt:lpstr>
      <vt:lpstr>RISK_ANALYSIS</vt:lpstr>
      <vt:lpstr>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KARIUKI</dc:creator>
  <cp:lastModifiedBy>EDWIN KARIUKI</cp:lastModifiedBy>
  <dcterms:created xsi:type="dcterms:W3CDTF">2025-11-14T07:29:38Z</dcterms:created>
  <dcterms:modified xsi:type="dcterms:W3CDTF">2025-11-16T09:08:47Z</dcterms:modified>
</cp:coreProperties>
</file>